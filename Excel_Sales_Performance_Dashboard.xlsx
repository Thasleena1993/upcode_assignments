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NS Electronics\Downloads\"/>
    </mc:Choice>
  </mc:AlternateContent>
  <xr:revisionPtr revIDLastSave="0" documentId="13_ncr:1_{C875388B-9AEF-4231-9433-076E87F16FA6}" xr6:coauthVersionLast="47" xr6:coauthVersionMax="47" xr10:uidLastSave="{00000000-0000-0000-0000-000000000000}"/>
  <bookViews>
    <workbookView xWindow="-110" yWindow="-110" windowWidth="19420" windowHeight="10300" activeTab="2" xr2:uid="{00000000-000D-0000-FFFF-FFFF00000000}"/>
  </bookViews>
  <sheets>
    <sheet name="pivot tables" sheetId="2" r:id="rId1"/>
    <sheet name="original dataset" sheetId="1" r:id="rId2"/>
    <sheet name="Dashboard" sheetId="3" r:id="rId3"/>
  </sheets>
  <definedNames>
    <definedName name="_xlnm._FilterDatabase" localSheetId="0" hidden="1">'pivot tables'!$H$9:$I$110</definedName>
    <definedName name="NativeTimeline_Order_Date">#N/A</definedName>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G5" i="3"/>
  <c r="C5" i="3"/>
  <c r="I5" i="3"/>
  <c r="E5" i="3"/>
</calcChain>
</file>

<file path=xl/sharedStrings.xml><?xml version="1.0" encoding="utf-8"?>
<sst xmlns="http://schemas.openxmlformats.org/spreadsheetml/2006/main" count="1168" uniqueCount="474">
  <si>
    <t>Order_ID</t>
  </si>
  <si>
    <t>Order_Date</t>
  </si>
  <si>
    <t>Customer_ID</t>
  </si>
  <si>
    <t>Customer_Type</t>
  </si>
  <si>
    <t>Region</t>
  </si>
  <si>
    <t>Category</t>
  </si>
  <si>
    <t>Subcategory</t>
  </si>
  <si>
    <t>Product_ID</t>
  </si>
  <si>
    <t>Product_Name</t>
  </si>
  <si>
    <t>Brand</t>
  </si>
  <si>
    <t>Quantity</t>
  </si>
  <si>
    <t>Unit_Price</t>
  </si>
  <si>
    <t>Discount</t>
  </si>
  <si>
    <t>Subtotal</t>
  </si>
  <si>
    <t>Tax</t>
  </si>
  <si>
    <t>Shipping</t>
  </si>
  <si>
    <t>Total</t>
  </si>
  <si>
    <t>Status</t>
  </si>
  <si>
    <t>Ship_Date</t>
  </si>
  <si>
    <t>Return_Flag</t>
  </si>
  <si>
    <t>C001</t>
  </si>
  <si>
    <t>Premium</t>
  </si>
  <si>
    <t>South</t>
  </si>
  <si>
    <t>Electronics</t>
  </si>
  <si>
    <t>Laptop</t>
  </si>
  <si>
    <t>P101</t>
  </si>
  <si>
    <t>Laptop Product 1</t>
  </si>
  <si>
    <t>Apple</t>
  </si>
  <si>
    <t>Cancelled</t>
  </si>
  <si>
    <t>22-05-2024</t>
  </si>
  <si>
    <t>No</t>
  </si>
  <si>
    <t>C002</t>
  </si>
  <si>
    <t>Regular</t>
  </si>
  <si>
    <t>North</t>
  </si>
  <si>
    <t>Furniture</t>
  </si>
  <si>
    <t>Table</t>
  </si>
  <si>
    <t>P102</t>
  </si>
  <si>
    <t>Table Product 2</t>
  </si>
  <si>
    <t>Dell</t>
  </si>
  <si>
    <t>Returned</t>
  </si>
  <si>
    <t>22-05-2025</t>
  </si>
  <si>
    <t>Yes</t>
  </si>
  <si>
    <t>C003</t>
  </si>
  <si>
    <t>Tablet</t>
  </si>
  <si>
    <t>P103</t>
  </si>
  <si>
    <t>Tablet Product 3</t>
  </si>
  <si>
    <t>OnePlus</t>
  </si>
  <si>
    <t>22-05-2026</t>
  </si>
  <si>
    <t>C004</t>
  </si>
  <si>
    <t>Clothing</t>
  </si>
  <si>
    <t>Shirt</t>
  </si>
  <si>
    <t>P104</t>
  </si>
  <si>
    <t>Shirt Product 4</t>
  </si>
  <si>
    <t>Ikea</t>
  </si>
  <si>
    <t>22-05-2027</t>
  </si>
  <si>
    <t>C005</t>
  </si>
  <si>
    <t>East</t>
  </si>
  <si>
    <t>P105</t>
  </si>
  <si>
    <t>Tablet Product 5</t>
  </si>
  <si>
    <t>22-05-2028</t>
  </si>
  <si>
    <t>C006</t>
  </si>
  <si>
    <t>West</t>
  </si>
  <si>
    <t>Jeans</t>
  </si>
  <si>
    <t>P106</t>
  </si>
  <si>
    <t>Jeans Product 6</t>
  </si>
  <si>
    <t>Levis</t>
  </si>
  <si>
    <t>22-05-2029</t>
  </si>
  <si>
    <t>C007</t>
  </si>
  <si>
    <t>Shoes</t>
  </si>
  <si>
    <t>P107</t>
  </si>
  <si>
    <t>Shoes Product 7</t>
  </si>
  <si>
    <t>Delivered</t>
  </si>
  <si>
    <t>22-05-2030</t>
  </si>
  <si>
    <t>C008</t>
  </si>
  <si>
    <t>Chair</t>
  </si>
  <si>
    <t>P108</t>
  </si>
  <si>
    <t>Chair Product 8</t>
  </si>
  <si>
    <t>22-05-2031</t>
  </si>
  <si>
    <t>C009</t>
  </si>
  <si>
    <t>P109</t>
  </si>
  <si>
    <t>Shirt Product 9</t>
  </si>
  <si>
    <t>C010</t>
  </si>
  <si>
    <t>P110</t>
  </si>
  <si>
    <t>Shirt Product 10</t>
  </si>
  <si>
    <t>C011</t>
  </si>
  <si>
    <t>P111</t>
  </si>
  <si>
    <t>Shoes Product 11</t>
  </si>
  <si>
    <t>22-05-2034</t>
  </si>
  <si>
    <t>C012</t>
  </si>
  <si>
    <t>P112</t>
  </si>
  <si>
    <t>Shoes Product 12</t>
  </si>
  <si>
    <t>22-05-2035</t>
  </si>
  <si>
    <t>C013</t>
  </si>
  <si>
    <t>P113</t>
  </si>
  <si>
    <t>Chair Product 13</t>
  </si>
  <si>
    <t>22-05-2036</t>
  </si>
  <si>
    <t>C014</t>
  </si>
  <si>
    <t>P114</t>
  </si>
  <si>
    <t>Laptop Product 14</t>
  </si>
  <si>
    <t>22-05-2037</t>
  </si>
  <si>
    <t>C015</t>
  </si>
  <si>
    <t>Sofa</t>
  </si>
  <si>
    <t>P115</t>
  </si>
  <si>
    <t>Sofa Product 15</t>
  </si>
  <si>
    <t>22-05-2038</t>
  </si>
  <si>
    <t>C016</t>
  </si>
  <si>
    <t>P116</t>
  </si>
  <si>
    <t>Chair Product 16</t>
  </si>
  <si>
    <t>22-05-2039</t>
  </si>
  <si>
    <t>C017</t>
  </si>
  <si>
    <t>P117</t>
  </si>
  <si>
    <t>Tablet Product 17</t>
  </si>
  <si>
    <t>22-05-2040</t>
  </si>
  <si>
    <t>C018</t>
  </si>
  <si>
    <t>P118</t>
  </si>
  <si>
    <t>Chair Product 18</t>
  </si>
  <si>
    <t>22-05-2041</t>
  </si>
  <si>
    <t>C019</t>
  </si>
  <si>
    <t>Mobile</t>
  </si>
  <si>
    <t>P119</t>
  </si>
  <si>
    <t>Mobile Product 19</t>
  </si>
  <si>
    <t>Nike</t>
  </si>
  <si>
    <t>22-05-2042</t>
  </si>
  <si>
    <t>C020</t>
  </si>
  <si>
    <t>P120</t>
  </si>
  <si>
    <t>Tablet Product 20</t>
  </si>
  <si>
    <t>Samsung</t>
  </si>
  <si>
    <t>22-05-2043</t>
  </si>
  <si>
    <t>C021</t>
  </si>
  <si>
    <t>P121</t>
  </si>
  <si>
    <t>Tablet Product 21</t>
  </si>
  <si>
    <t>22-05-2044</t>
  </si>
  <si>
    <t>C022</t>
  </si>
  <si>
    <t>P122</t>
  </si>
  <si>
    <t>Sofa Product 22</t>
  </si>
  <si>
    <t>22-05-2045</t>
  </si>
  <si>
    <t>C023</t>
  </si>
  <si>
    <t>P123</t>
  </si>
  <si>
    <t>Sofa Product 23</t>
  </si>
  <si>
    <t>22-05-2046</t>
  </si>
  <si>
    <t>C024</t>
  </si>
  <si>
    <t>P124</t>
  </si>
  <si>
    <t>Mobile Product 24</t>
  </si>
  <si>
    <t>22-05-2047</t>
  </si>
  <si>
    <t>C025</t>
  </si>
  <si>
    <t>P125</t>
  </si>
  <si>
    <t>Chair Product 25</t>
  </si>
  <si>
    <t>22-05-2048</t>
  </si>
  <si>
    <t>C026</t>
  </si>
  <si>
    <t>P126</t>
  </si>
  <si>
    <t>Chair Product 26</t>
  </si>
  <si>
    <t>22-05-2049</t>
  </si>
  <si>
    <t>C027</t>
  </si>
  <si>
    <t>P127</t>
  </si>
  <si>
    <t>Shirt Product 27</t>
  </si>
  <si>
    <t>22-05-2050</t>
  </si>
  <si>
    <t>C028</t>
  </si>
  <si>
    <t>P128</t>
  </si>
  <si>
    <t>Chair Product 28</t>
  </si>
  <si>
    <t>22-05-2051</t>
  </si>
  <si>
    <t>C029</t>
  </si>
  <si>
    <t>P129</t>
  </si>
  <si>
    <t>Mobile Product 29</t>
  </si>
  <si>
    <t>22-05-2052</t>
  </si>
  <si>
    <t>C030</t>
  </si>
  <si>
    <t>P130</t>
  </si>
  <si>
    <t>Jeans Product 30</t>
  </si>
  <si>
    <t>22-05-2053</t>
  </si>
  <si>
    <t>C031</t>
  </si>
  <si>
    <t>P131</t>
  </si>
  <si>
    <t>Shoes Product 31</t>
  </si>
  <si>
    <t>22-05-2054</t>
  </si>
  <si>
    <t>C032</t>
  </si>
  <si>
    <t>P132</t>
  </si>
  <si>
    <t>Laptop Product 32</t>
  </si>
  <si>
    <t>22-05-2055</t>
  </si>
  <si>
    <t>C033</t>
  </si>
  <si>
    <t>P133</t>
  </si>
  <si>
    <t>Chair Product 33</t>
  </si>
  <si>
    <t>22-05-2056</t>
  </si>
  <si>
    <t>C034</t>
  </si>
  <si>
    <t>P134</t>
  </si>
  <si>
    <t>Chair Product 34</t>
  </si>
  <si>
    <t>22-05-2057</t>
  </si>
  <si>
    <t>C035</t>
  </si>
  <si>
    <t>P135</t>
  </si>
  <si>
    <t>Chair Product 35</t>
  </si>
  <si>
    <t>22-05-2058</t>
  </si>
  <si>
    <t>C036</t>
  </si>
  <si>
    <t>P136</t>
  </si>
  <si>
    <t>Chair Product 36</t>
  </si>
  <si>
    <t>22-05-2059</t>
  </si>
  <si>
    <t>C037</t>
  </si>
  <si>
    <t>P137</t>
  </si>
  <si>
    <t>Table Product 37</t>
  </si>
  <si>
    <t>22-05-2060</t>
  </si>
  <si>
    <t>C038</t>
  </si>
  <si>
    <t>P138</t>
  </si>
  <si>
    <t>Shoes Product 38</t>
  </si>
  <si>
    <t>22-05-2061</t>
  </si>
  <si>
    <t>C039</t>
  </si>
  <si>
    <t>P139</t>
  </si>
  <si>
    <t>Chair Product 39</t>
  </si>
  <si>
    <t>22-05-2062</t>
  </si>
  <si>
    <t>C040</t>
  </si>
  <si>
    <t>P140</t>
  </si>
  <si>
    <t>Laptop Product 40</t>
  </si>
  <si>
    <t>22-05-2063</t>
  </si>
  <si>
    <t>C041</t>
  </si>
  <si>
    <t>P141</t>
  </si>
  <si>
    <t>Tablet Product 41</t>
  </si>
  <si>
    <t>22-05-2064</t>
  </si>
  <si>
    <t>C042</t>
  </si>
  <si>
    <t>P142</t>
  </si>
  <si>
    <t>Chair Product 42</t>
  </si>
  <si>
    <t>22-05-2065</t>
  </si>
  <si>
    <t>C043</t>
  </si>
  <si>
    <t>P143</t>
  </si>
  <si>
    <t>Tablet Product 43</t>
  </si>
  <si>
    <t>22-05-2066</t>
  </si>
  <si>
    <t>C044</t>
  </si>
  <si>
    <t>P144</t>
  </si>
  <si>
    <t>Jeans Product 44</t>
  </si>
  <si>
    <t>22-05-2067</t>
  </si>
  <si>
    <t>C045</t>
  </si>
  <si>
    <t>P145</t>
  </si>
  <si>
    <t>Shirt Product 45</t>
  </si>
  <si>
    <t>22-05-2068</t>
  </si>
  <si>
    <t>C046</t>
  </si>
  <si>
    <t>P146</t>
  </si>
  <si>
    <t>Shirt Product 46</t>
  </si>
  <si>
    <t>22-05-2069</t>
  </si>
  <si>
    <t>C047</t>
  </si>
  <si>
    <t>P147</t>
  </si>
  <si>
    <t>Shirt Product 47</t>
  </si>
  <si>
    <t>22-05-2070</t>
  </si>
  <si>
    <t>C048</t>
  </si>
  <si>
    <t>P148</t>
  </si>
  <si>
    <t>Table Product 48</t>
  </si>
  <si>
    <t>22-05-2071</t>
  </si>
  <si>
    <t>C049</t>
  </si>
  <si>
    <t>P149</t>
  </si>
  <si>
    <t>Jeans Product 49</t>
  </si>
  <si>
    <t>22-05-2072</t>
  </si>
  <si>
    <t>C050</t>
  </si>
  <si>
    <t>P150</t>
  </si>
  <si>
    <t>Mobile Product 50</t>
  </si>
  <si>
    <t>22-05-2073</t>
  </si>
  <si>
    <t>C051</t>
  </si>
  <si>
    <t>P151</t>
  </si>
  <si>
    <t>Sofa Product 51</t>
  </si>
  <si>
    <t>22-05-2074</t>
  </si>
  <si>
    <t>C052</t>
  </si>
  <si>
    <t>P152</t>
  </si>
  <si>
    <t>Jeans Product 52</t>
  </si>
  <si>
    <t>22-05-2075</t>
  </si>
  <si>
    <t>C053</t>
  </si>
  <si>
    <t>P153</t>
  </si>
  <si>
    <t>Tablet Product 53</t>
  </si>
  <si>
    <t>22-05-2076</t>
  </si>
  <si>
    <t>C054</t>
  </si>
  <si>
    <t>P154</t>
  </si>
  <si>
    <t>Jeans Product 54</t>
  </si>
  <si>
    <t>22-05-2077</t>
  </si>
  <si>
    <t>C055</t>
  </si>
  <si>
    <t>P155</t>
  </si>
  <si>
    <t>Tablet Product 55</t>
  </si>
  <si>
    <t>22-05-2078</t>
  </si>
  <si>
    <t>C056</t>
  </si>
  <si>
    <t>P156</t>
  </si>
  <si>
    <t>Shoes Product 56</t>
  </si>
  <si>
    <t>22-05-2079</t>
  </si>
  <si>
    <t>C057</t>
  </si>
  <si>
    <t>P157</t>
  </si>
  <si>
    <t>Jeans Product 57</t>
  </si>
  <si>
    <t>22-05-2080</t>
  </si>
  <si>
    <t>C058</t>
  </si>
  <si>
    <t>P158</t>
  </si>
  <si>
    <t>Shirt Product 58</t>
  </si>
  <si>
    <t>22-05-2081</t>
  </si>
  <si>
    <t>C059</t>
  </si>
  <si>
    <t>P159</t>
  </si>
  <si>
    <t>Table Product 59</t>
  </si>
  <si>
    <t>22-05-2082</t>
  </si>
  <si>
    <t>C060</t>
  </si>
  <si>
    <t>P160</t>
  </si>
  <si>
    <t>Sofa Product 60</t>
  </si>
  <si>
    <t>22-05-2083</t>
  </si>
  <si>
    <t>C061</t>
  </si>
  <si>
    <t>P161</t>
  </si>
  <si>
    <t>Shirt Product 61</t>
  </si>
  <si>
    <t>22-05-2084</t>
  </si>
  <si>
    <t>C062</t>
  </si>
  <si>
    <t>P162</t>
  </si>
  <si>
    <t>Tablet Product 62</t>
  </si>
  <si>
    <t>22-05-2085</t>
  </si>
  <si>
    <t>C063</t>
  </si>
  <si>
    <t>P163</t>
  </si>
  <si>
    <t>Table Product 63</t>
  </si>
  <si>
    <t>22-05-2086</t>
  </si>
  <si>
    <t>C064</t>
  </si>
  <si>
    <t>P164</t>
  </si>
  <si>
    <t>Sofa Product 64</t>
  </si>
  <si>
    <t>22-05-2087</t>
  </si>
  <si>
    <t>C065</t>
  </si>
  <si>
    <t>P165</t>
  </si>
  <si>
    <t>Chair Product 65</t>
  </si>
  <si>
    <t>22-05-2088</t>
  </si>
  <si>
    <t>C066</t>
  </si>
  <si>
    <t>P166</t>
  </si>
  <si>
    <t>Mobile Product 66</t>
  </si>
  <si>
    <t>22-05-2089</t>
  </si>
  <si>
    <t>C067</t>
  </si>
  <si>
    <t>P167</t>
  </si>
  <si>
    <t>Mobile Product 67</t>
  </si>
  <si>
    <t>22-05-2090</t>
  </si>
  <si>
    <t>C068</t>
  </si>
  <si>
    <t>P168</t>
  </si>
  <si>
    <t>Tablet Product 68</t>
  </si>
  <si>
    <t>22-05-2091</t>
  </si>
  <si>
    <t>C069</t>
  </si>
  <si>
    <t>P169</t>
  </si>
  <si>
    <t>Shoes Product 69</t>
  </si>
  <si>
    <t>22-05-2092</t>
  </si>
  <si>
    <t>C070</t>
  </si>
  <si>
    <t>P170</t>
  </si>
  <si>
    <t>Laptop Product 70</t>
  </si>
  <si>
    <t>22-05-2093</t>
  </si>
  <si>
    <t>C071</t>
  </si>
  <si>
    <t>P171</t>
  </si>
  <si>
    <t>Mobile Product 71</t>
  </si>
  <si>
    <t>22-05-2094</t>
  </si>
  <si>
    <t>C072</t>
  </si>
  <si>
    <t>P172</t>
  </si>
  <si>
    <t>Shirt Product 72</t>
  </si>
  <si>
    <t>22-05-2095</t>
  </si>
  <si>
    <t>C073</t>
  </si>
  <si>
    <t>P173</t>
  </si>
  <si>
    <t>Sofa Product 73</t>
  </si>
  <si>
    <t>22-05-2096</t>
  </si>
  <si>
    <t>C074</t>
  </si>
  <si>
    <t>P174</t>
  </si>
  <si>
    <t>Mobile Product 74</t>
  </si>
  <si>
    <t>22-05-2097</t>
  </si>
  <si>
    <t>C075</t>
  </si>
  <si>
    <t>P175</t>
  </si>
  <si>
    <t>Sofa Product 75</t>
  </si>
  <si>
    <t>22-05-2098</t>
  </si>
  <si>
    <t>C076</t>
  </si>
  <si>
    <t>P176</t>
  </si>
  <si>
    <t>Shoes Product 76</t>
  </si>
  <si>
    <t>22-05-2099</t>
  </si>
  <si>
    <t>C077</t>
  </si>
  <si>
    <t>P177</t>
  </si>
  <si>
    <t>Shoes Product 77</t>
  </si>
  <si>
    <t>22-05-2100</t>
  </si>
  <si>
    <t>C078</t>
  </si>
  <si>
    <t>P178</t>
  </si>
  <si>
    <t>Tablet Product 78</t>
  </si>
  <si>
    <t>22-05-2101</t>
  </si>
  <si>
    <t>C079</t>
  </si>
  <si>
    <t>P179</t>
  </si>
  <si>
    <t>Laptop Product 79</t>
  </si>
  <si>
    <t>22-05-2102</t>
  </si>
  <si>
    <t>C080</t>
  </si>
  <si>
    <t>P180</t>
  </si>
  <si>
    <t>Chair Product 80</t>
  </si>
  <si>
    <t>22-05-2103</t>
  </si>
  <si>
    <t>C081</t>
  </si>
  <si>
    <t>P181</t>
  </si>
  <si>
    <t>Jeans Product 81</t>
  </si>
  <si>
    <t>22-05-2104</t>
  </si>
  <si>
    <t>C082</t>
  </si>
  <si>
    <t>P182</t>
  </si>
  <si>
    <t>Jeans Product 82</t>
  </si>
  <si>
    <t>22-05-2105</t>
  </si>
  <si>
    <t>C083</t>
  </si>
  <si>
    <t>P183</t>
  </si>
  <si>
    <t>Table Product 83</t>
  </si>
  <si>
    <t>22-05-2106</t>
  </si>
  <si>
    <t>C084</t>
  </si>
  <si>
    <t>P184</t>
  </si>
  <si>
    <t>Table Product 84</t>
  </si>
  <si>
    <t>22-05-2107</t>
  </si>
  <si>
    <t>C085</t>
  </si>
  <si>
    <t>P185</t>
  </si>
  <si>
    <t>Sofa Product 85</t>
  </si>
  <si>
    <t>22-05-2108</t>
  </si>
  <si>
    <t>C086</t>
  </si>
  <si>
    <t>P186</t>
  </si>
  <si>
    <t>Mobile Product 86</t>
  </si>
  <si>
    <t>22-05-2109</t>
  </si>
  <si>
    <t>C087</t>
  </si>
  <si>
    <t>P187</t>
  </si>
  <si>
    <t>Table Product 87</t>
  </si>
  <si>
    <t>22-05-2110</t>
  </si>
  <si>
    <t>C088</t>
  </si>
  <si>
    <t>P188</t>
  </si>
  <si>
    <t>Shirt Product 88</t>
  </si>
  <si>
    <t>22-05-2111</t>
  </si>
  <si>
    <t>C089</t>
  </si>
  <si>
    <t>P189</t>
  </si>
  <si>
    <t>Chair Product 89</t>
  </si>
  <si>
    <t>22-05-2112</t>
  </si>
  <si>
    <t>C090</t>
  </si>
  <si>
    <t>P190</t>
  </si>
  <si>
    <t>Jeans Product 90</t>
  </si>
  <si>
    <t>22-05-2113</t>
  </si>
  <si>
    <t>C091</t>
  </si>
  <si>
    <t>P191</t>
  </si>
  <si>
    <t>Shirt Product 91</t>
  </si>
  <si>
    <t>22-05-2114</t>
  </si>
  <si>
    <t>C092</t>
  </si>
  <si>
    <t>P192</t>
  </si>
  <si>
    <t>Sofa Product 92</t>
  </si>
  <si>
    <t>22-05-2115</t>
  </si>
  <si>
    <t>C093</t>
  </si>
  <si>
    <t>P193</t>
  </si>
  <si>
    <t>Shirt Product 93</t>
  </si>
  <si>
    <t>22-05-2116</t>
  </si>
  <si>
    <t>C094</t>
  </si>
  <si>
    <t>P194</t>
  </si>
  <si>
    <t>Shoes Product 94</t>
  </si>
  <si>
    <t>22-05-2117</t>
  </si>
  <si>
    <t>C095</t>
  </si>
  <si>
    <t>P195</t>
  </si>
  <si>
    <t>Shirt Product 95</t>
  </si>
  <si>
    <t>22-05-2118</t>
  </si>
  <si>
    <t>C096</t>
  </si>
  <si>
    <t>P196</t>
  </si>
  <si>
    <t>Table Product 96</t>
  </si>
  <si>
    <t>22-05-2119</t>
  </si>
  <si>
    <t>C097</t>
  </si>
  <si>
    <t>P197</t>
  </si>
  <si>
    <t>Chair Product 97</t>
  </si>
  <si>
    <t>22-05-2120</t>
  </si>
  <si>
    <t>C098</t>
  </si>
  <si>
    <t>P198</t>
  </si>
  <si>
    <t>Sofa Product 98</t>
  </si>
  <si>
    <t>22-05-2121</t>
  </si>
  <si>
    <t>C099</t>
  </si>
  <si>
    <t>P199</t>
  </si>
  <si>
    <t>Jeans Product 99</t>
  </si>
  <si>
    <t>22-05-2122</t>
  </si>
  <si>
    <t>C100</t>
  </si>
  <si>
    <t>P200</t>
  </si>
  <si>
    <t>Chair Product 100</t>
  </si>
  <si>
    <t>22-05-2123</t>
  </si>
  <si>
    <t>Total Revenue</t>
  </si>
  <si>
    <t>Total Orders</t>
  </si>
  <si>
    <t>Row Labels</t>
  </si>
  <si>
    <t>Grand Total</t>
  </si>
  <si>
    <t>Average Order Value</t>
  </si>
  <si>
    <t>SALES PERFORMANCE DASHBOARD</t>
  </si>
  <si>
    <t xml:space="preserve">Total Orders </t>
  </si>
  <si>
    <t>Return Rate</t>
  </si>
  <si>
    <t>Sum of Total</t>
  </si>
  <si>
    <t>Flag value</t>
  </si>
  <si>
    <t>Jan</t>
  </si>
  <si>
    <t>Feb</t>
  </si>
  <si>
    <t>Mar</t>
  </si>
  <si>
    <t>Apr</t>
  </si>
  <si>
    <t>May</t>
  </si>
  <si>
    <t>Jun</t>
  </si>
  <si>
    <t>Jul</t>
  </si>
  <si>
    <t>Aug</t>
  </si>
  <si>
    <t>Sep</t>
  </si>
  <si>
    <t>Oct</t>
  </si>
  <si>
    <t>Nov</t>
  </si>
  <si>
    <t>Dec</t>
  </si>
  <si>
    <t>Revenue Trend by Month</t>
  </si>
  <si>
    <t>Revenue by Category</t>
  </si>
  <si>
    <t>Top 5 Products By Revenue</t>
  </si>
  <si>
    <t>Revenue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</si>
</sst>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K&quot;"/>
  </numFmts>
  <fonts count="9">
    <font>
      <sz val="10"/>
      <color rgb="FF000000"/>
      <name val="Arial"/>
      <scheme val="minor"/>
    </font>
    <font>
      <b/>
      <sz val="11"/>
      <color rgb="FFFFFFFF"/>
      <name val="&quot;Aptos Narrow&quot;"/>
    </font>
    <font>
      <sz val="11"/>
      <color rgb="FF000000"/>
      <name val="&quot;Aptos Narrow&quot;"/>
    </font>
    <font>
      <sz val="10"/>
      <color rgb="FF000000"/>
      <name val="Arial"/>
      <family val="2"/>
      <scheme val="minor"/>
    </font>
    <font>
      <b/>
      <sz val="10"/>
      <color rgb="FF000000"/>
      <name val="Arial"/>
      <family val="2"/>
      <scheme val="minor"/>
    </font>
    <font>
      <b/>
      <sz val="12"/>
      <color rgb="FF000000"/>
      <name val="Arial"/>
      <family val="2"/>
      <scheme val="major"/>
    </font>
    <font>
      <b/>
      <sz val="18"/>
      <color rgb="FF000000"/>
      <name val="Arial"/>
      <family val="2"/>
      <scheme val="major"/>
    </font>
    <font>
      <sz val="10"/>
      <color rgb="FF000000"/>
      <name val="Arial"/>
      <family val="2"/>
      <scheme val="major"/>
    </font>
    <font>
      <b/>
      <sz val="14"/>
      <color theme="1"/>
      <name val="Arial"/>
      <family val="2"/>
      <scheme val="minor"/>
    </font>
  </fonts>
  <fills count="7">
    <fill>
      <patternFill patternType="none"/>
    </fill>
    <fill>
      <patternFill patternType="gray125"/>
    </fill>
    <fill>
      <patternFill patternType="solid">
        <fgColor rgb="FF145F82"/>
        <bgColor rgb="FF145F82"/>
      </patternFill>
    </fill>
    <fill>
      <patternFill patternType="solid">
        <fgColor rgb="FFC0E4F5"/>
        <bgColor rgb="FFC0E4F5"/>
      </patternFill>
    </fill>
    <fill>
      <patternFill patternType="solid">
        <fgColor theme="2" tint="-4.9989318521683403E-2"/>
        <bgColor indexed="64"/>
      </patternFill>
    </fill>
    <fill>
      <patternFill patternType="solid">
        <fgColor theme="2" tint="-0.14999847407452621"/>
        <bgColor indexed="64"/>
      </patternFill>
    </fill>
    <fill>
      <patternFill patternType="solid">
        <fgColor theme="0"/>
        <bgColor indexed="64"/>
      </patternFill>
    </fill>
  </fills>
  <borders count="11">
    <border>
      <left/>
      <right/>
      <top/>
      <bottom/>
      <diagonal/>
    </border>
    <border>
      <left/>
      <right/>
      <top style="thin">
        <color rgb="FF43AEE2"/>
      </top>
      <bottom style="thin">
        <color rgb="FF43AEE2"/>
      </bottom>
      <diagonal/>
    </border>
    <border>
      <left/>
      <right/>
      <top/>
      <bottom style="thin">
        <color rgb="FF43AEE2"/>
      </bottom>
      <diagonal/>
    </border>
    <border>
      <left/>
      <right/>
      <top style="thin">
        <color rgb="FF43AEE2"/>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3">
    <xf numFmtId="0" fontId="0" fillId="0" borderId="0" xfId="0"/>
    <xf numFmtId="0" fontId="2" fillId="3" borderId="1" xfId="0" applyFont="1" applyFill="1" applyBorder="1" applyAlignment="1">
      <alignment horizontal="right"/>
    </xf>
    <xf numFmtId="0" fontId="2" fillId="3" borderId="1" xfId="0" applyFont="1" applyFill="1" applyBorder="1"/>
    <xf numFmtId="0" fontId="2" fillId="0" borderId="1" xfId="0" applyFont="1" applyBorder="1" applyAlignment="1">
      <alignment horizontal="right"/>
    </xf>
    <xf numFmtId="0" fontId="2" fillId="0" borderId="1" xfId="0" applyFont="1" applyBorder="1"/>
    <xf numFmtId="14" fontId="2" fillId="3" borderId="1" xfId="0" applyNumberFormat="1" applyFont="1" applyFill="1" applyBorder="1" applyAlignment="1">
      <alignment horizontal="right"/>
    </xf>
    <xf numFmtId="14" fontId="2" fillId="0" borderId="1" xfId="0" applyNumberFormat="1" applyFont="1" applyBorder="1" applyAlignment="1">
      <alignment horizontal="right"/>
    </xf>
    <xf numFmtId="14" fontId="0" fillId="0" borderId="0" xfId="0" applyNumberFormat="1"/>
    <xf numFmtId="0" fontId="1" fillId="2" borderId="2" xfId="0" applyFont="1" applyFill="1" applyBorder="1"/>
    <xf numFmtId="14" fontId="1" fillId="2" borderId="2" xfId="0" applyNumberFormat="1" applyFont="1" applyFill="1" applyBorder="1"/>
    <xf numFmtId="0" fontId="2" fillId="0" borderId="3" xfId="0" applyFont="1" applyBorder="1" applyAlignment="1">
      <alignment horizontal="right"/>
    </xf>
    <xf numFmtId="14" fontId="2" fillId="0" borderId="3" xfId="0" applyNumberFormat="1" applyFont="1" applyBorder="1" applyAlignment="1">
      <alignment horizontal="right"/>
    </xf>
    <xf numFmtId="0" fontId="2" fillId="0" borderId="3" xfId="0" applyFont="1" applyBorder="1"/>
    <xf numFmtId="0" fontId="2" fillId="3" borderId="3" xfId="0" applyFont="1" applyFill="1" applyBorder="1" applyAlignment="1">
      <alignment horizontal="right"/>
    </xf>
    <xf numFmtId="0" fontId="3" fillId="0" borderId="0" xfId="0" applyFont="1"/>
    <xf numFmtId="0" fontId="0" fillId="0" borderId="0" xfId="0" applyAlignment="1">
      <alignment horizontal="left"/>
    </xf>
    <xf numFmtId="0" fontId="5" fillId="0" borderId="0" xfId="0" applyFont="1" applyAlignment="1">
      <alignment horizontal="center" vertical="center"/>
    </xf>
    <xf numFmtId="0" fontId="6" fillId="4" borderId="5" xfId="0" applyFont="1" applyFill="1" applyBorder="1" applyAlignment="1">
      <alignment horizontal="center" vertical="center"/>
    </xf>
    <xf numFmtId="0" fontId="6" fillId="0" borderId="0" xfId="0" applyFont="1" applyAlignment="1">
      <alignment horizontal="center" vertical="center"/>
    </xf>
    <xf numFmtId="9" fontId="6" fillId="4" borderId="5" xfId="0" applyNumberFormat="1" applyFont="1" applyFill="1" applyBorder="1" applyAlignment="1">
      <alignment horizontal="center" vertical="center"/>
    </xf>
    <xf numFmtId="0" fontId="7" fillId="5" borderId="4" xfId="0" applyFont="1" applyFill="1" applyBorder="1" applyAlignment="1">
      <alignment horizontal="center" vertical="center" wrapText="1"/>
    </xf>
    <xf numFmtId="0" fontId="7" fillId="0" borderId="0" xfId="0" applyFont="1" applyAlignment="1">
      <alignment horizontal="center" vertical="center"/>
    </xf>
    <xf numFmtId="2" fontId="1" fillId="2" borderId="2" xfId="0" applyNumberFormat="1" applyFont="1" applyFill="1" applyBorder="1"/>
    <xf numFmtId="2" fontId="0" fillId="0" borderId="0" xfId="0" applyNumberFormat="1"/>
    <xf numFmtId="0" fontId="0" fillId="0" borderId="9" xfId="0" applyBorder="1"/>
    <xf numFmtId="0" fontId="4" fillId="6" borderId="0" xfId="0" applyFont="1" applyFill="1"/>
    <xf numFmtId="2" fontId="2" fillId="3" borderId="1" xfId="0" applyNumberFormat="1" applyFont="1" applyFill="1" applyBorder="1" applyAlignment="1">
      <alignment horizontal="right"/>
    </xf>
    <xf numFmtId="2" fontId="2" fillId="0" borderId="1" xfId="0" applyNumberFormat="1" applyFont="1" applyBorder="1" applyAlignment="1">
      <alignment horizontal="right"/>
    </xf>
    <xf numFmtId="2" fontId="2" fillId="0" borderId="3" xfId="0" applyNumberFormat="1" applyFont="1" applyBorder="1" applyAlignment="1">
      <alignment horizontal="right"/>
    </xf>
    <xf numFmtId="0" fontId="0" fillId="0" borderId="9" xfId="0" applyBorder="1" applyAlignment="1">
      <alignment horizontal="center" vertical="center"/>
    </xf>
    <xf numFmtId="0" fontId="0" fillId="0" borderId="0" xfId="0" applyAlignment="1">
      <alignment horizontal="center" vertical="center"/>
    </xf>
    <xf numFmtId="0" fontId="0" fillId="0" borderId="9" xfId="0" applyBorder="1" applyAlignment="1">
      <alignment horizontal="center" vertical="center" wrapText="1"/>
    </xf>
    <xf numFmtId="9" fontId="0" fillId="0" borderId="9" xfId="0" applyNumberFormat="1" applyBorder="1" applyAlignment="1">
      <alignment horizontal="center" vertical="center"/>
    </xf>
    <xf numFmtId="164" fontId="6" fillId="4" borderId="5" xfId="0" applyNumberFormat="1" applyFont="1" applyFill="1" applyBorder="1" applyAlignment="1">
      <alignment horizontal="center" vertical="center"/>
    </xf>
    <xf numFmtId="0" fontId="0" fillId="0" borderId="9" xfId="0" pivotButton="1" applyBorder="1" applyAlignment="1">
      <alignment horizontal="center" vertical="center"/>
    </xf>
    <xf numFmtId="2" fontId="0" fillId="0" borderId="9" xfId="0" applyNumberFormat="1" applyBorder="1" applyAlignment="1">
      <alignment horizontal="center" vertical="center"/>
    </xf>
    <xf numFmtId="0" fontId="0" fillId="6" borderId="0" xfId="0" applyFill="1"/>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4" fillId="5" borderId="0" xfId="0" applyFont="1" applyFill="1" applyAlignment="1">
      <alignment horizontal="center"/>
    </xf>
    <xf numFmtId="0" fontId="0" fillId="0" borderId="9" xfId="0" applyNumberFormat="1" applyBorder="1" applyAlignment="1">
      <alignment horizontal="center" vertical="center"/>
    </xf>
    <xf numFmtId="0" fontId="0" fillId="0" borderId="10" xfId="0" applyNumberFormat="1" applyBorder="1" applyAlignment="1">
      <alignment horizontal="center" vertical="center"/>
    </xf>
  </cellXfs>
  <cellStyles count="1">
    <cellStyle name="Normal" xfId="0" builtinId="0"/>
  </cellStyles>
  <dxfs count="48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vertical style="thin">
          <color indexed="64"/>
        </vertical>
      </border>
    </dxf>
    <dxf>
      <border>
        <vertical style="thin">
          <color indexed="64"/>
        </vertical>
      </border>
    </dxf>
    <dxf>
      <border>
        <vertical style="thin">
          <color indexed="64"/>
        </vertical>
      </border>
    </dxf>
    <dxf>
      <alignment vertical="center"/>
    </dxf>
    <dxf>
      <alignment vertical="center"/>
    </dxf>
    <dxf>
      <alignment vertical="center"/>
    </dxf>
    <dxf>
      <numFmt numFmtId="13" formatCode="0%"/>
    </dxf>
    <dxf>
      <alignment horizontal="center"/>
    </dxf>
    <dxf>
      <alignment horizontal="center"/>
    </dxf>
    <dxf>
      <alignment horizontal="cent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vertical style="thin">
          <color indexed="64"/>
        </vertical>
      </border>
    </dxf>
    <dxf>
      <border>
        <vertical style="thin">
          <color indexed="64"/>
        </vertical>
      </border>
    </dxf>
    <dxf>
      <border>
        <vertical style="thin">
          <color indexed="64"/>
        </vertical>
      </border>
    </dxf>
    <dxf>
      <alignment vertical="center"/>
    </dxf>
    <dxf>
      <alignment vertical="center"/>
    </dxf>
    <dxf>
      <alignment vertical="center"/>
    </dxf>
    <dxf>
      <numFmt numFmtId="13" formatCode="0%"/>
    </dxf>
    <dxf>
      <alignment horizontal="center"/>
    </dxf>
    <dxf>
      <alignment horizontal="center"/>
    </dxf>
    <dxf>
      <alignment horizontal="cent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vertical style="thin">
          <color indexed="64"/>
        </vertical>
      </border>
    </dxf>
    <dxf>
      <border>
        <vertical style="thin">
          <color indexed="64"/>
        </vertical>
      </border>
    </dxf>
    <dxf>
      <border>
        <vertical style="thin">
          <color indexed="64"/>
        </vertical>
      </border>
    </dxf>
    <dxf>
      <alignment vertical="center"/>
    </dxf>
    <dxf>
      <alignment vertical="center"/>
    </dxf>
    <dxf>
      <alignment vertical="center"/>
    </dxf>
    <dxf>
      <numFmt numFmtId="13" formatCode="0%"/>
    </dxf>
    <dxf>
      <alignment horizontal="center"/>
    </dxf>
    <dxf>
      <alignment horizontal="center"/>
    </dxf>
    <dxf>
      <alignment horizontal="cent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0" formatCode="General"/>
      <border diagonalUp="0" diagonalDown="0" outline="0">
        <left/>
        <right/>
        <top/>
        <bottom/>
      </border>
    </dxf>
    <dxf>
      <numFmt numFmtId="0" formatCode="General"/>
    </dxf>
    <dxf>
      <font>
        <b val="0"/>
        <i val="0"/>
        <strike val="0"/>
        <condense val="0"/>
        <extend val="0"/>
        <outline val="0"/>
        <shadow val="0"/>
        <u val="none"/>
        <vertAlign val="baseline"/>
        <sz val="11"/>
        <color rgb="FF000000"/>
        <name val="&quot;Aptos Narrow&quot;"/>
        <scheme val="none"/>
      </font>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border diagonalUp="0" diagonalDown="0" outline="0">
        <left/>
        <right/>
        <top style="thin">
          <color rgb="FF43AEE2"/>
        </top>
        <bottom style="thin">
          <color rgb="FF43AEE2"/>
        </bottom>
      </border>
    </dxf>
    <dxf>
      <font>
        <b val="0"/>
        <i val="0"/>
        <strike val="0"/>
        <condense val="0"/>
        <extend val="0"/>
        <outline val="0"/>
        <shadow val="0"/>
        <u val="none"/>
        <vertAlign val="baseline"/>
        <sz val="11"/>
        <color rgb="FF000000"/>
        <name val="&quot;Aptos Narrow&quot;"/>
        <scheme val="none"/>
      </font>
      <fill>
        <patternFill patternType="solid">
          <fgColor rgb="FFC0E4F5"/>
          <bgColor rgb="FFC0E4F5"/>
        </patternFill>
      </fill>
      <alignment horizontal="right" vertical="bottom" textRotation="0" wrapText="0" indent="0" justifyLastLine="0" shrinkToFit="0" readingOrder="0"/>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fill>
        <patternFill patternType="solid">
          <fgColor rgb="FFC0E4F5"/>
          <bgColor rgb="FFC0E4F5"/>
        </patternFill>
      </fill>
      <alignment horizontal="right" vertical="bottom" textRotation="0" wrapText="0" indent="0" justifyLastLine="0" shrinkToFit="0" readingOrder="0"/>
      <border diagonalUp="0" diagonalDown="0">
        <left/>
        <right/>
        <top style="thin">
          <color rgb="FF43AEE2"/>
        </top>
        <bottom style="thin">
          <color rgb="FF43AEE2"/>
        </bottom>
        <vertical/>
        <horizontal/>
      </border>
    </dxf>
    <dxf>
      <font>
        <b val="0"/>
        <i val="0"/>
        <strike val="0"/>
        <condense val="0"/>
        <extend val="0"/>
        <outline val="0"/>
        <shadow val="0"/>
        <u val="none"/>
        <vertAlign val="baseline"/>
        <sz val="11"/>
        <color rgb="FF000000"/>
        <name val="&quot;Aptos Narrow&quot;"/>
        <scheme val="none"/>
      </font>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border diagonalUp="0" diagonalDown="0" outline="0">
        <left/>
        <right/>
        <top style="thin">
          <color rgb="FF43AEE2"/>
        </top>
        <bottom style="thin">
          <color rgb="FF43AEE2"/>
        </bottom>
      </border>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border diagonalUp="0" diagonalDown="0" outline="0">
        <left/>
        <right/>
        <top style="thin">
          <color rgb="FF43AEE2"/>
        </top>
        <bottom style="thin">
          <color rgb="FF43AEE2"/>
        </bottom>
      </border>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border diagonalUp="0" diagonalDown="0" outline="0">
        <left/>
        <right/>
        <top style="thin">
          <color rgb="FF43AEE2"/>
        </top>
        <bottom style="thin">
          <color rgb="FF43AEE2"/>
        </bottom>
      </border>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border diagonalUp="0" diagonalDown="0" outline="0">
        <left/>
        <right/>
        <top style="thin">
          <color rgb="FF43AEE2"/>
        </top>
        <bottom style="thin">
          <color rgb="FF43AEE2"/>
        </bottom>
      </border>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border diagonalUp="0" diagonalDown="0" outline="0">
        <left/>
        <right/>
        <top style="thin">
          <color rgb="FF43AEE2"/>
        </top>
        <bottom style="thin">
          <color rgb="FF43AEE2"/>
        </bottom>
      </border>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border diagonalUp="0" diagonalDown="0" outline="0">
        <left/>
        <right/>
        <top style="thin">
          <color rgb="FF43AEE2"/>
        </top>
        <bottom style="thin">
          <color rgb="FF43AEE2"/>
        </bottom>
      </border>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border diagonalUp="0" diagonalDown="0" outline="0">
        <left/>
        <right/>
        <top style="thin">
          <color rgb="FF43AEE2"/>
        </top>
        <bottom style="thin">
          <color rgb="FF43AEE2"/>
        </bottom>
      </border>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border diagonalUp="0" diagonalDown="0" outline="0">
        <left/>
        <right/>
        <top style="thin">
          <color rgb="FF43AEE2"/>
        </top>
        <bottom style="thin">
          <color rgb="FF43AEE2"/>
        </bottom>
      </border>
    </dxf>
    <dxf>
      <font>
        <b val="0"/>
        <i val="0"/>
        <strike val="0"/>
        <condense val="0"/>
        <extend val="0"/>
        <outline val="0"/>
        <shadow val="0"/>
        <u val="none"/>
        <vertAlign val="baseline"/>
        <sz val="11"/>
        <color rgb="FF000000"/>
        <name val="&quot;Aptos Narrow&quot;"/>
        <scheme val="none"/>
      </font>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border diagonalUp="0" diagonalDown="0">
        <left/>
        <right/>
        <top style="thin">
          <color rgb="FF43AEE2"/>
        </top>
        <bottom style="thin">
          <color rgb="FF43AEE2"/>
        </bottom>
        <vertical/>
        <horizontal/>
      </border>
    </dxf>
    <dxf>
      <font>
        <b val="0"/>
        <i val="0"/>
        <strike val="0"/>
        <condense val="0"/>
        <extend val="0"/>
        <outline val="0"/>
        <shadow val="0"/>
        <u val="none"/>
        <vertAlign val="baseline"/>
        <sz val="11"/>
        <color rgb="FF000000"/>
        <name val="&quot;Aptos Narrow&quot;"/>
        <scheme val="none"/>
      </font>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border diagonalUp="0" diagonalDown="0">
        <left/>
        <right/>
        <top style="thin">
          <color rgb="FF43AEE2"/>
        </top>
        <bottom style="thin">
          <color rgb="FF43AEE2"/>
        </bottom>
        <vertical/>
        <horizontal/>
      </border>
    </dxf>
    <dxf>
      <font>
        <b val="0"/>
        <i val="0"/>
        <strike val="0"/>
        <condense val="0"/>
        <extend val="0"/>
        <outline val="0"/>
        <shadow val="0"/>
        <u val="none"/>
        <vertAlign val="baseline"/>
        <sz val="11"/>
        <color rgb="FF000000"/>
        <name val="&quot;Aptos Narrow&quot;"/>
        <scheme val="none"/>
      </font>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border diagonalUp="0" diagonalDown="0">
        <left/>
        <right/>
        <top style="thin">
          <color rgb="FF43AEE2"/>
        </top>
        <bottom style="thin">
          <color rgb="FF43AEE2"/>
        </bottom>
        <vertical/>
        <horizontal/>
      </border>
    </dxf>
    <dxf>
      <font>
        <b val="0"/>
        <i val="0"/>
        <strike val="0"/>
        <condense val="0"/>
        <extend val="0"/>
        <outline val="0"/>
        <shadow val="0"/>
        <u val="none"/>
        <vertAlign val="baseline"/>
        <sz val="11"/>
        <color rgb="FF000000"/>
        <name val="&quot;Aptos Narrow&quot;"/>
        <scheme val="none"/>
      </font>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border diagonalUp="0" diagonalDown="0">
        <left/>
        <right/>
        <top style="thin">
          <color rgb="FF43AEE2"/>
        </top>
        <bottom style="thin">
          <color rgb="FF43AEE2"/>
        </bottom>
        <vertical/>
        <horizontal/>
      </border>
    </dxf>
    <dxf>
      <font>
        <b val="0"/>
        <i val="0"/>
        <strike val="0"/>
        <condense val="0"/>
        <extend val="0"/>
        <outline val="0"/>
        <shadow val="0"/>
        <u val="none"/>
        <vertAlign val="baseline"/>
        <sz val="11"/>
        <color rgb="FF000000"/>
        <name val="&quot;Aptos Narrow&quot;"/>
        <scheme val="none"/>
      </font>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border diagonalUp="0" diagonalDown="0">
        <left/>
        <right/>
        <top style="thin">
          <color rgb="FF43AEE2"/>
        </top>
        <bottom style="thin">
          <color rgb="FF43AEE2"/>
        </bottom>
        <vertical/>
        <horizontal/>
      </border>
    </dxf>
    <dxf>
      <font>
        <b val="0"/>
        <i val="0"/>
        <strike val="0"/>
        <condense val="0"/>
        <extend val="0"/>
        <outline val="0"/>
        <shadow val="0"/>
        <u val="none"/>
        <vertAlign val="baseline"/>
        <sz val="11"/>
        <color rgb="FF000000"/>
        <name val="&quot;Aptos Narrow&quot;"/>
        <scheme val="none"/>
      </font>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border diagonalUp="0" diagonalDown="0">
        <left/>
        <right/>
        <top style="thin">
          <color rgb="FF43AEE2"/>
        </top>
        <bottom style="thin">
          <color rgb="FF43AEE2"/>
        </bottom>
        <vertical/>
        <horizontal/>
      </border>
    </dxf>
    <dxf>
      <font>
        <b val="0"/>
        <i val="0"/>
        <strike val="0"/>
        <condense val="0"/>
        <extend val="0"/>
        <outline val="0"/>
        <shadow val="0"/>
        <u val="none"/>
        <vertAlign val="baseline"/>
        <sz val="11"/>
        <color rgb="FF000000"/>
        <name val="&quot;Aptos Narrow&quot;"/>
        <scheme val="none"/>
      </font>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border diagonalUp="0" diagonalDown="0">
        <left/>
        <right/>
        <top style="thin">
          <color rgb="FF43AEE2"/>
        </top>
        <bottom style="thin">
          <color rgb="FF43AEE2"/>
        </bottom>
        <vertical/>
        <horizontal/>
      </border>
    </dxf>
    <dxf>
      <font>
        <b val="0"/>
        <i val="0"/>
        <strike val="0"/>
        <condense val="0"/>
        <extend val="0"/>
        <outline val="0"/>
        <shadow val="0"/>
        <u val="none"/>
        <vertAlign val="baseline"/>
        <sz val="11"/>
        <color rgb="FF000000"/>
        <name val="&quot;Aptos Narrow&quot;"/>
        <scheme val="none"/>
      </font>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border diagonalUp="0" diagonalDown="0">
        <left/>
        <right/>
        <top style="thin">
          <color rgb="FF43AEE2"/>
        </top>
        <bottom style="thin">
          <color rgb="FF43AEE2"/>
        </bottom>
        <vertical/>
        <horizontal/>
      </border>
    </dxf>
    <dxf>
      <font>
        <b val="0"/>
        <i val="0"/>
        <strike val="0"/>
        <condense val="0"/>
        <extend val="0"/>
        <outline val="0"/>
        <shadow val="0"/>
        <u val="none"/>
        <vertAlign val="baseline"/>
        <sz val="11"/>
        <color rgb="FF000000"/>
        <name val="&quot;Aptos Narrow&quot;"/>
        <scheme val="none"/>
      </font>
      <numFmt numFmtId="19" formatCode="dd/mm/yyyy"/>
      <alignment horizontal="right" vertical="bottom" textRotation="0" wrapText="0" indent="0" justifyLastLine="0" shrinkToFit="0" readingOrder="0"/>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numFmt numFmtId="19" formatCode="dd/mm/yyyy"/>
      <alignment horizontal="right" vertical="bottom" textRotation="0" wrapText="0" indent="0" justifyLastLine="0" shrinkToFit="0" readingOrder="0"/>
      <border diagonalUp="0" diagonalDown="0">
        <left/>
        <right/>
        <top style="thin">
          <color rgb="FF43AEE2"/>
        </top>
        <bottom style="thin">
          <color rgb="FF43AEE2"/>
        </bottom>
        <vertical/>
        <horizontal/>
      </border>
    </dxf>
    <dxf>
      <font>
        <b val="0"/>
        <i val="0"/>
        <strike val="0"/>
        <condense val="0"/>
        <extend val="0"/>
        <outline val="0"/>
        <shadow val="0"/>
        <u val="none"/>
        <vertAlign val="baseline"/>
        <sz val="11"/>
        <color rgb="FF000000"/>
        <name val="&quot;Aptos Narrow&quot;"/>
        <scheme val="none"/>
      </font>
      <numFmt numFmtId="0" formatCode="General"/>
      <alignment horizontal="right" vertical="bottom" textRotation="0" wrapText="0" indent="0" justifyLastLine="0" shrinkToFit="0" readingOrder="0"/>
      <border diagonalUp="0" diagonalDown="0" outline="0">
        <left/>
        <right/>
        <top style="thin">
          <color rgb="FF43AEE2"/>
        </top>
        <bottom/>
      </border>
    </dxf>
    <dxf>
      <font>
        <b val="0"/>
        <i val="0"/>
        <strike val="0"/>
        <condense val="0"/>
        <extend val="0"/>
        <outline val="0"/>
        <shadow val="0"/>
        <u val="none"/>
        <vertAlign val="baseline"/>
        <sz val="11"/>
        <color rgb="FF000000"/>
        <name val="&quot;Aptos Narrow&quot;"/>
        <scheme val="none"/>
      </font>
      <numFmt numFmtId="0" formatCode="General"/>
      <alignment horizontal="right" vertical="bottom" textRotation="0" wrapText="0" indent="0" justifyLastLine="0" shrinkToFit="0" readingOrder="0"/>
      <border diagonalUp="0" diagonalDown="0">
        <left/>
        <right/>
        <top style="thin">
          <color rgb="FF43AEE2"/>
        </top>
        <bottom style="thin">
          <color rgb="FF43AEE2"/>
        </bottom>
        <vertical/>
        <horizontal/>
      </border>
    </dxf>
    <dxf>
      <border outline="0">
        <top style="thin">
          <color rgb="FF43AEE2"/>
        </top>
      </border>
    </dxf>
    <dxf>
      <border outline="0">
        <left style="thin">
          <color rgb="FF43AEE2"/>
        </left>
        <right style="thin">
          <color rgb="FF43AEE2"/>
        </right>
        <top style="thin">
          <color rgb="FF43AEE2"/>
        </top>
        <bottom style="thin">
          <color rgb="FF43AEE2"/>
        </bottom>
      </border>
    </dxf>
    <dxf>
      <border outline="0">
        <bottom style="thin">
          <color rgb="FF43AEE2"/>
        </bottom>
      </border>
    </dxf>
    <dxf>
      <font>
        <b/>
        <i val="0"/>
        <strike val="0"/>
        <condense val="0"/>
        <extend val="0"/>
        <outline val="0"/>
        <shadow val="0"/>
        <u val="none"/>
        <vertAlign val="baseline"/>
        <sz val="11"/>
        <color rgb="FFFFFFFF"/>
        <name val="&quot;Aptos Narrow&quot;"/>
        <scheme val="none"/>
      </font>
      <fill>
        <patternFill patternType="solid">
          <fgColor rgb="FF145F82"/>
          <bgColor rgb="FF145F82"/>
        </patternFill>
      </fill>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alignment horizontal="center"/>
    </dxf>
    <dxf>
      <alignment horizontal="center"/>
    </dxf>
    <dxf>
      <alignment horizontal="center"/>
    </dxf>
    <dxf>
      <numFmt numFmtId="13" formatCode="0%"/>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border>
        <vertical style="thin">
          <color indexed="64"/>
        </vertical>
      </border>
    </dxf>
    <dxf>
      <border>
        <vertical style="thin">
          <color indexed="64"/>
        </vertical>
      </border>
    </dxf>
    <dxf>
      <border>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[pivot_practice_dataset.xlsx]pivot tables!PivotTable5</c:name>
    <c:fmtId val="2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sz="1400"/>
              <a:t>Revenue</a:t>
            </a:r>
            <a:r>
              <a:rPr lang="en-GB" sz="1400" baseline="0"/>
              <a:t> </a:t>
            </a:r>
            <a:r>
              <a:rPr lang="en-GB" sz="1400"/>
              <a:t>By Month</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tables'!$B$10:$B$22</c:f>
              <c:numCache>
                <c:formatCode>General</c:formatCode>
                <c:ptCount val="12"/>
                <c:pt idx="0">
                  <c:v>255260.94999999998</c:v>
                </c:pt>
                <c:pt idx="1">
                  <c:v>829144.5</c:v>
                </c:pt>
                <c:pt idx="2">
                  <c:v>1433794.2000000002</c:v>
                </c:pt>
                <c:pt idx="3">
                  <c:v>856466.24999999988</c:v>
                </c:pt>
                <c:pt idx="4">
                  <c:v>1104898.2000000002</c:v>
                </c:pt>
                <c:pt idx="5">
                  <c:v>953736.30000000016</c:v>
                </c:pt>
                <c:pt idx="6">
                  <c:v>1484402.6</c:v>
                </c:pt>
                <c:pt idx="7">
                  <c:v>195179.1</c:v>
                </c:pt>
                <c:pt idx="8">
                  <c:v>735718</c:v>
                </c:pt>
                <c:pt idx="9">
                  <c:v>1213233.05</c:v>
                </c:pt>
                <c:pt idx="10">
                  <c:v>862917.4</c:v>
                </c:pt>
                <c:pt idx="11">
                  <c:v>1039769.4</c:v>
                </c:pt>
              </c:numCache>
            </c:numRef>
          </c:val>
          <c:smooth val="0"/>
          <c:extLst>
            <c:ext xmlns:c16="http://schemas.microsoft.com/office/drawing/2014/chart" uri="{C3380CC4-5D6E-409C-BE32-E72D297353CC}">
              <c16:uniqueId val="{00000000-C922-4541-9EEA-ECEA319D37B2}"/>
            </c:ext>
          </c:extLst>
        </c:ser>
        <c:dLbls>
          <c:showLegendKey val="0"/>
          <c:showVal val="0"/>
          <c:showCatName val="0"/>
          <c:showSerName val="0"/>
          <c:showPercent val="0"/>
          <c:showBubbleSize val="0"/>
        </c:dLbls>
        <c:marker val="1"/>
        <c:smooth val="0"/>
        <c:axId val="671963840"/>
        <c:axId val="670900272"/>
      </c:lineChart>
      <c:catAx>
        <c:axId val="67196384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0900272"/>
        <c:crosses val="autoZero"/>
        <c:auto val="1"/>
        <c:lblAlgn val="ctr"/>
        <c:lblOffset val="100"/>
        <c:noMultiLvlLbl val="0"/>
      </c:catAx>
      <c:valAx>
        <c:axId val="6709002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196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[pivot_practice_dataset.xlsx]pivot tables!PivotTable6</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Revenue By Category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9525" cap="flat" cmpd="sng" algn="ctr">
            <a:solidFill>
              <a:schemeClr val="accent1">
                <a:lumMod val="20000"/>
                <a:lumOff val="80000"/>
              </a:schemeClr>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tables'!$F$9</c:f>
              <c:strCache>
                <c:ptCount val="1"/>
                <c:pt idx="0">
                  <c:v>Total</c:v>
                </c:pt>
              </c:strCache>
            </c:strRef>
          </c:tx>
          <c:spPr>
            <a:solidFill>
              <a:schemeClr val="accent2">
                <a:lumMod val="75000"/>
              </a:schemeClr>
            </a:solidFill>
            <a:ln w="9525" cap="flat" cmpd="sng" algn="ctr">
              <a:solidFill>
                <a:schemeClr val="accent1">
                  <a:lumMod val="20000"/>
                  <a:lumOff val="80000"/>
                </a:schemeClr>
              </a:solidFill>
              <a:miter lim="800000"/>
            </a:ln>
            <a:effectLst>
              <a:glow rad="63500">
                <a:schemeClr val="accent1">
                  <a:satMod val="175000"/>
                  <a:alpha val="25000"/>
                </a:schemeClr>
              </a:glow>
            </a:effectLst>
          </c:spPr>
          <c:invertIfNegative val="0"/>
          <c:cat>
            <c:strRef>
              <c:f>'pivot tables'!$E$10:$E$13</c:f>
              <c:strCache>
                <c:ptCount val="3"/>
                <c:pt idx="0">
                  <c:v>Clothing</c:v>
                </c:pt>
                <c:pt idx="1">
                  <c:v>Electronics</c:v>
                </c:pt>
                <c:pt idx="2">
                  <c:v>Furniture</c:v>
                </c:pt>
              </c:strCache>
            </c:strRef>
          </c:cat>
          <c:val>
            <c:numRef>
              <c:f>'pivot tables'!$F$10:$F$13</c:f>
              <c:numCache>
                <c:formatCode>General</c:formatCode>
                <c:ptCount val="3"/>
                <c:pt idx="0">
                  <c:v>3816358.0999999996</c:v>
                </c:pt>
                <c:pt idx="1">
                  <c:v>2490230.4</c:v>
                </c:pt>
                <c:pt idx="2">
                  <c:v>4657931.45</c:v>
                </c:pt>
              </c:numCache>
            </c:numRef>
          </c:val>
          <c:extLst>
            <c:ext xmlns:c16="http://schemas.microsoft.com/office/drawing/2014/chart" uri="{C3380CC4-5D6E-409C-BE32-E72D297353CC}">
              <c16:uniqueId val="{00000000-AD43-45BB-A9A2-3929292EAEBA}"/>
            </c:ext>
          </c:extLst>
        </c:ser>
        <c:dLbls>
          <c:showLegendKey val="0"/>
          <c:showVal val="0"/>
          <c:showCatName val="0"/>
          <c:showSerName val="0"/>
          <c:showPercent val="0"/>
          <c:showBubbleSize val="0"/>
        </c:dLbls>
        <c:gapWidth val="315"/>
        <c:overlap val="-40"/>
        <c:axId val="662790944"/>
        <c:axId val="670939152"/>
      </c:barChart>
      <c:catAx>
        <c:axId val="6627909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0939152"/>
        <c:crosses val="autoZero"/>
        <c:auto val="1"/>
        <c:lblAlgn val="ctr"/>
        <c:lblOffset val="100"/>
        <c:noMultiLvlLbl val="0"/>
      </c:catAx>
      <c:valAx>
        <c:axId val="6709391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279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[pivot_practice_dataset.xlsx]pivot tables!PivotTable12</c:name>
    <c:fmtId val="1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Revenue By Region</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218153980752404"/>
          <c:y val="0.37342155147273259"/>
          <c:w val="0.66985958005249346"/>
          <c:h val="0.54796733741615633"/>
        </c:manualLayout>
      </c:layout>
      <c:barChart>
        <c:barDir val="col"/>
        <c:grouping val="clustered"/>
        <c:varyColors val="0"/>
        <c:ser>
          <c:idx val="0"/>
          <c:order val="0"/>
          <c:tx>
            <c:strRef>
              <c:f>'pivot tables'!$L$9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D09F-43FA-872C-BD4A44AE04D9}"/>
              </c:ext>
            </c:extLst>
          </c:dPt>
          <c:dPt>
            <c:idx val="1"/>
            <c:invertIfNegative val="0"/>
            <c:bubble3D val="0"/>
            <c:extLst>
              <c:ext xmlns:c16="http://schemas.microsoft.com/office/drawing/2014/chart" uri="{C3380CC4-5D6E-409C-BE32-E72D297353CC}">
                <c16:uniqueId val="{00000003-D09F-43FA-872C-BD4A44AE04D9}"/>
              </c:ext>
            </c:extLst>
          </c:dPt>
          <c:dPt>
            <c:idx val="3"/>
            <c:invertIfNegative val="0"/>
            <c:bubble3D val="0"/>
            <c:extLst>
              <c:ext xmlns:c16="http://schemas.microsoft.com/office/drawing/2014/chart" uri="{C3380CC4-5D6E-409C-BE32-E72D297353CC}">
                <c16:uniqueId val="{00000005-D09F-43FA-872C-BD4A44AE04D9}"/>
              </c:ext>
            </c:extLst>
          </c:dPt>
          <c:cat>
            <c:strRef>
              <c:f>'pivot tables'!$K$10:$K$14</c:f>
              <c:strCache>
                <c:ptCount val="4"/>
                <c:pt idx="0">
                  <c:v>East</c:v>
                </c:pt>
                <c:pt idx="1">
                  <c:v>West</c:v>
                </c:pt>
                <c:pt idx="2">
                  <c:v>North</c:v>
                </c:pt>
                <c:pt idx="3">
                  <c:v>South</c:v>
                </c:pt>
              </c:strCache>
            </c:strRef>
          </c:cat>
          <c:val>
            <c:numRef>
              <c:f>'pivot tables'!$L$10:$L$14</c:f>
              <c:numCache>
                <c:formatCode>0.00</c:formatCode>
                <c:ptCount val="4"/>
                <c:pt idx="0">
                  <c:v>2128014.35</c:v>
                </c:pt>
                <c:pt idx="1">
                  <c:v>2508745.8499999996</c:v>
                </c:pt>
                <c:pt idx="2">
                  <c:v>2023214.8500000006</c:v>
                </c:pt>
                <c:pt idx="3">
                  <c:v>4304544.9000000004</c:v>
                </c:pt>
              </c:numCache>
            </c:numRef>
          </c:val>
          <c:extLst>
            <c:ext xmlns:c16="http://schemas.microsoft.com/office/drawing/2014/chart" uri="{C3380CC4-5D6E-409C-BE32-E72D297353CC}">
              <c16:uniqueId val="{00000006-D09F-43FA-872C-BD4A44AE04D9}"/>
            </c:ext>
          </c:extLst>
        </c:ser>
        <c:dLbls>
          <c:showLegendKey val="0"/>
          <c:showVal val="0"/>
          <c:showCatName val="0"/>
          <c:showSerName val="0"/>
          <c:showPercent val="0"/>
          <c:showBubbleSize val="0"/>
        </c:dLbls>
        <c:gapWidth val="100"/>
        <c:overlap val="-24"/>
        <c:axId val="671964304"/>
        <c:axId val="670967472"/>
      </c:barChart>
      <c:catAx>
        <c:axId val="6719643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0967472"/>
        <c:crosses val="autoZero"/>
        <c:auto val="1"/>
        <c:lblAlgn val="ctr"/>
        <c:lblOffset val="100"/>
        <c:noMultiLvlLbl val="0"/>
      </c:catAx>
      <c:valAx>
        <c:axId val="67096747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7196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0</xdr:colOff>
      <xdr:row>7</xdr:row>
      <xdr:rowOff>0</xdr:rowOff>
    </xdr:from>
    <xdr:to>
      <xdr:col>6</xdr:col>
      <xdr:colOff>214312</xdr:colOff>
      <xdr:row>22</xdr:row>
      <xdr:rowOff>0</xdr:rowOff>
    </xdr:to>
    <xdr:graphicFrame macro="">
      <xdr:nvGraphicFramePr>
        <xdr:cNvPr id="2" name="Chart 3">
          <a:extLst>
            <a:ext uri="{FF2B5EF4-FFF2-40B4-BE49-F238E27FC236}">
              <a16:creationId xmlns:a16="http://schemas.microsoft.com/office/drawing/2014/main" id="{86327485-6C3D-3349-C527-E171F06B6F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762550</xdr:colOff>
      <xdr:row>7</xdr:row>
      <xdr:rowOff>0</xdr:rowOff>
    </xdr:from>
    <xdr:to>
      <xdr:col>11</xdr:col>
      <xdr:colOff>0</xdr:colOff>
      <xdr:row>22</xdr:row>
      <xdr:rowOff>0</xdr:rowOff>
    </xdr:to>
    <xdr:graphicFrame macro="">
      <xdr:nvGraphicFramePr>
        <xdr:cNvPr id="3" name="Chart 4">
          <a:extLst>
            <a:ext uri="{FF2B5EF4-FFF2-40B4-BE49-F238E27FC236}">
              <a16:creationId xmlns:a16="http://schemas.microsoft.com/office/drawing/2014/main" id="{3D673E73-C2A5-B627-461C-8B759661B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7</xdr:row>
      <xdr:rowOff>0</xdr:rowOff>
    </xdr:from>
    <xdr:to>
      <xdr:col>18</xdr:col>
      <xdr:colOff>174075</xdr:colOff>
      <xdr:row>22</xdr:row>
      <xdr:rowOff>1950</xdr:rowOff>
    </xdr:to>
    <xdr:graphicFrame macro="">
      <xdr:nvGraphicFramePr>
        <xdr:cNvPr id="5" name="Chart 5">
          <a:extLst>
            <a:ext uri="{FF2B5EF4-FFF2-40B4-BE49-F238E27FC236}">
              <a16:creationId xmlns:a16="http://schemas.microsoft.com/office/drawing/2014/main" id="{601EC920-4693-0FA0-ADD3-382DDDA33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309562</xdr:colOff>
      <xdr:row>0</xdr:row>
      <xdr:rowOff>150811</xdr:rowOff>
    </xdr:from>
    <xdr:to>
      <xdr:col>12</xdr:col>
      <xdr:colOff>304800</xdr:colOff>
      <xdr:row>5</xdr:row>
      <xdr:rowOff>15874</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FA9E4DA6-14BE-45EF-BBA6-0C512D179B2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540750" y="150811"/>
              <a:ext cx="1828800" cy="13970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420688</xdr:colOff>
      <xdr:row>0</xdr:row>
      <xdr:rowOff>134938</xdr:rowOff>
    </xdr:from>
    <xdr:to>
      <xdr:col>15</xdr:col>
      <xdr:colOff>415925</xdr:colOff>
      <xdr:row>5</xdr:row>
      <xdr:rowOff>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1B53AC89-5FE5-423C-990F-B01206B7C34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85438" y="134938"/>
              <a:ext cx="1828800" cy="139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500062</xdr:colOff>
      <xdr:row>0</xdr:row>
      <xdr:rowOff>119062</xdr:rowOff>
    </xdr:from>
    <xdr:to>
      <xdr:col>18</xdr:col>
      <xdr:colOff>495300</xdr:colOff>
      <xdr:row>4</xdr:row>
      <xdr:rowOff>468112</xdr:rowOff>
    </xdr:to>
    <mc:AlternateContent xmlns:mc="http://schemas.openxmlformats.org/markup-compatibility/2006" xmlns:tsle="http://schemas.microsoft.com/office/drawing/2012/timeslicer">
      <mc:Choice Requires="tsle">
        <xdr:graphicFrame macro="">
          <xdr:nvGraphicFramePr>
            <xdr:cNvPr id="11" name="Order_Date">
              <a:extLst>
                <a:ext uri="{FF2B5EF4-FFF2-40B4-BE49-F238E27FC236}">
                  <a16:creationId xmlns:a16="http://schemas.microsoft.com/office/drawing/2014/main" id="{54F03BFC-A5B2-49EA-9472-26E4466CB6E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398375" y="119062"/>
              <a:ext cx="1828800" cy="13968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S Electronics" refreshedDate="46281.354360879632" createdVersion="8" refreshedVersion="8" minRefreshableVersion="3" recordCount="100" xr:uid="{F9D78C19-AD41-4E3A-958D-02D55EA3D48B}">
  <cacheSource type="worksheet">
    <worksheetSource name="Table1"/>
  </cacheSource>
  <cacheFields count="24">
    <cacheField name="Order_ID" numFmtId="0">
      <sharedItems containsSemiMixedTypes="0" containsString="0" containsNumber="1" containsInteger="1" minValue="1001" maxValue="1100"/>
    </cacheField>
    <cacheField name="Order_Date" numFmtId="14">
      <sharedItems containsSemiMixedTypes="0" containsNonDate="0" containsDate="1" containsString="0" minDate="2024-01-02T00:00:00" maxDate="2025-12-30T00:00:00" count="97">
        <d v="2024-05-17T00:00:00"/>
        <d v="2025-05-14T00:00:00"/>
        <d v="2024-01-02T00:00:00"/>
        <d v="2025-03-24T00:00:00"/>
        <d v="2025-07-23T00:00:00"/>
        <d v="2025-08-24T00:00:00"/>
        <d v="2024-06-26T00:00:00"/>
        <d v="2025-05-16T00:00:00"/>
        <d v="2024-07-23T00:00:00"/>
        <d v="2025-07-15T00:00:00"/>
        <d v="2025-07-05T00:00:00"/>
        <d v="2025-05-07T00:00:00"/>
        <d v="2024-03-04T00:00:00"/>
        <d v="2024-04-22T00:00:00"/>
        <d v="2025-12-29T00:00:00"/>
        <d v="2025-07-03T00:00:00"/>
        <d v="2025-10-02T00:00:00"/>
        <d v="2025-12-12T00:00:00"/>
        <d v="2024-01-11T00:00:00"/>
        <d v="2024-09-15T00:00:00"/>
        <d v="2024-12-21T00:00:00"/>
        <d v="2025-05-26T00:00:00"/>
        <d v="2025-03-15T00:00:00"/>
        <d v="2024-11-02T00:00:00"/>
        <d v="2024-12-14T00:00:00"/>
        <d v="2025-02-20T00:00:00"/>
        <d v="2025-07-17T00:00:00"/>
        <d v="2024-04-20T00:00:00"/>
        <d v="2025-08-23T00:00:00"/>
        <d v="2025-09-07T00:00:00"/>
        <d v="2024-11-01T00:00:00"/>
        <d v="2025-07-09T00:00:00"/>
        <d v="2024-07-22T00:00:00"/>
        <d v="2024-10-11T00:00:00"/>
        <d v="2024-01-21T00:00:00"/>
        <d v="2025-02-01T00:00:00"/>
        <d v="2024-02-06T00:00:00"/>
        <d v="2024-02-02T00:00:00"/>
        <d v="2025-11-14T00:00:00"/>
        <d v="2025-09-02T00:00:00"/>
        <d v="2024-12-29T00:00:00"/>
        <d v="2024-01-04T00:00:00"/>
        <d v="2025-05-21T00:00:00"/>
        <d v="2024-03-14T00:00:00"/>
        <d v="2025-12-19T00:00:00"/>
        <d v="2024-10-08T00:00:00"/>
        <d v="2024-02-04T00:00:00"/>
        <d v="2024-03-09T00:00:00"/>
        <d v="2025-03-17T00:00:00"/>
        <d v="2025-03-25T00:00:00"/>
        <d v="2024-07-24T00:00:00"/>
        <d v="2024-04-05T00:00:00"/>
        <d v="2025-10-26T00:00:00"/>
        <d v="2024-06-05T00:00:00"/>
        <d v="2025-01-21T00:00:00"/>
        <d v="2025-06-13T00:00:00"/>
        <d v="2024-04-01T00:00:00"/>
        <d v="2024-10-09T00:00:00"/>
        <d v="2025-11-09T00:00:00"/>
        <d v="2025-06-06T00:00:00"/>
        <d v="2025-03-06T00:00:00"/>
        <d v="2024-02-10T00:00:00"/>
        <d v="2025-10-30T00:00:00"/>
        <d v="2024-09-22T00:00:00"/>
        <d v="2025-03-18T00:00:00"/>
        <d v="2025-06-23T00:00:00"/>
        <d v="2025-11-28T00:00:00"/>
        <d v="2025-03-09T00:00:00"/>
        <d v="2024-08-10T00:00:00"/>
        <d v="2024-06-21T00:00:00"/>
        <d v="2025-08-30T00:00:00"/>
        <d v="2025-02-13T00:00:00"/>
        <d v="2024-05-13T00:00:00"/>
        <d v="2024-04-30T00:00:00"/>
        <d v="2025-03-04T00:00:00"/>
        <d v="2025-03-14T00:00:00"/>
        <d v="2024-12-03T00:00:00"/>
        <d v="2024-09-05T00:00:00"/>
        <d v="2024-11-29T00:00:00"/>
        <d v="2025-01-24T00:00:00"/>
        <d v="2025-05-06T00:00:00"/>
        <d v="2024-09-06T00:00:00"/>
        <d v="2024-03-11T00:00:00"/>
        <d v="2024-11-20T00:00:00"/>
        <d v="2024-03-21T00:00:00"/>
        <d v="2025-10-20T00:00:00"/>
        <d v="2025-04-12T00:00:00"/>
        <d v="2024-04-19T00:00:00"/>
        <d v="2025-08-04T00:00:00"/>
        <d v="2025-05-13T00:00:00"/>
        <d v="2025-12-13T00:00:00"/>
        <d v="2025-06-14T00:00:00"/>
        <d v="2024-06-15T00:00:00"/>
        <d v="2024-04-29T00:00:00"/>
        <d v="2024-10-21T00:00:00"/>
        <d v="2025-05-18T00:00:00"/>
        <d v="2024-09-16T00:00:00"/>
      </sharedItems>
      <fieldGroup par="23"/>
    </cacheField>
    <cacheField name="Customer_ID" numFmtId="0">
      <sharedItems/>
    </cacheField>
    <cacheField name="Customer_Type" numFmtId="0">
      <sharedItems/>
    </cacheField>
    <cacheField name="Region" numFmtId="0">
      <sharedItems count="4">
        <s v="South"/>
        <s v="North"/>
        <s v="East"/>
        <s v="West"/>
      </sharedItems>
    </cacheField>
    <cacheField name="Category" numFmtId="0">
      <sharedItems count="3">
        <s v="Electronics"/>
        <s v="Furniture"/>
        <s v="Clothing"/>
      </sharedItems>
    </cacheField>
    <cacheField name="Subcategory" numFmtId="0">
      <sharedItems/>
    </cacheField>
    <cacheField name="Product_ID" numFmtId="0">
      <sharedItems/>
    </cacheField>
    <cacheField name="Product_Name" numFmtId="0">
      <sharedItems count="100">
        <s v="Laptop Product 1"/>
        <s v="Table Product 2"/>
        <s v="Tablet Product 3"/>
        <s v="Shirt Product 4"/>
        <s v="Tablet Product 5"/>
        <s v="Jeans Product 6"/>
        <s v="Shoes Product 7"/>
        <s v="Chair Product 8"/>
        <s v="Shirt Product 9"/>
        <s v="Shirt Product 10"/>
        <s v="Shoes Product 11"/>
        <s v="Shoes Product 12"/>
        <s v="Chair Product 13"/>
        <s v="Laptop Product 14"/>
        <s v="Sofa Product 15"/>
        <s v="Chair Product 16"/>
        <s v="Tablet Product 17"/>
        <s v="Chair Product 18"/>
        <s v="Mobile Product 19"/>
        <s v="Tablet Product 20"/>
        <s v="Tablet Product 21"/>
        <s v="Sofa Product 22"/>
        <s v="Sofa Product 23"/>
        <s v="Mobile Product 24"/>
        <s v="Chair Product 25"/>
        <s v="Chair Product 26"/>
        <s v="Shirt Product 27"/>
        <s v="Chair Product 28"/>
        <s v="Mobile Product 29"/>
        <s v="Jeans Product 30"/>
        <s v="Shoes Product 31"/>
        <s v="Laptop Product 32"/>
        <s v="Chair Product 33"/>
        <s v="Chair Product 34"/>
        <s v="Chair Product 35"/>
        <s v="Chair Product 36"/>
        <s v="Table Product 37"/>
        <s v="Shoes Product 38"/>
        <s v="Chair Product 39"/>
        <s v="Laptop Product 40"/>
        <s v="Tablet Product 41"/>
        <s v="Chair Product 42"/>
        <s v="Tablet Product 43"/>
        <s v="Jeans Product 44"/>
        <s v="Shirt Product 45"/>
        <s v="Shirt Product 46"/>
        <s v="Shirt Product 47"/>
        <s v="Table Product 48"/>
        <s v="Jeans Product 49"/>
        <s v="Mobile Product 50"/>
        <s v="Sofa Product 51"/>
        <s v="Jeans Product 52"/>
        <s v="Tablet Product 53"/>
        <s v="Jeans Product 54"/>
        <s v="Tablet Product 55"/>
        <s v="Shoes Product 56"/>
        <s v="Jeans Product 57"/>
        <s v="Shirt Product 58"/>
        <s v="Table Product 59"/>
        <s v="Sofa Product 60"/>
        <s v="Shirt Product 61"/>
        <s v="Tablet Product 62"/>
        <s v="Table Product 63"/>
        <s v="Sofa Product 64"/>
        <s v="Chair Product 65"/>
        <s v="Mobile Product 66"/>
        <s v="Mobile Product 67"/>
        <s v="Tablet Product 68"/>
        <s v="Shoes Product 69"/>
        <s v="Laptop Product 70"/>
        <s v="Mobile Product 71"/>
        <s v="Shirt Product 72"/>
        <s v="Sofa Product 73"/>
        <s v="Mobile Product 74"/>
        <s v="Sofa Product 75"/>
        <s v="Shoes Product 76"/>
        <s v="Shoes Product 77"/>
        <s v="Tablet Product 78"/>
        <s v="Laptop Product 79"/>
        <s v="Chair Product 80"/>
        <s v="Jeans Product 81"/>
        <s v="Jeans Product 82"/>
        <s v="Table Product 83"/>
        <s v="Table Product 84"/>
        <s v="Sofa Product 85"/>
        <s v="Mobile Product 86"/>
        <s v="Table Product 87"/>
        <s v="Shirt Product 88"/>
        <s v="Chair Product 89"/>
        <s v="Jeans Product 90"/>
        <s v="Shirt Product 91"/>
        <s v="Sofa Product 92"/>
        <s v="Shirt Product 93"/>
        <s v="Shoes Product 94"/>
        <s v="Shirt Product 95"/>
        <s v="Table Product 96"/>
        <s v="Chair Product 97"/>
        <s v="Sofa Product 98"/>
        <s v="Jeans Product 99"/>
        <s v="Chair Product 100"/>
      </sharedItems>
    </cacheField>
    <cacheField name="Brand" numFmtId="0">
      <sharedItems/>
    </cacheField>
    <cacheField name="Quantity" numFmtId="0">
      <sharedItems containsSemiMixedTypes="0" containsString="0" containsNumber="1" containsInteger="1" minValue="1" maxValue="5"/>
    </cacheField>
    <cacheField name="Unit_Price" numFmtId="2">
      <sharedItems containsSemiMixedTypes="0" containsString="0" containsNumber="1" containsInteger="1" minValue="1276" maxValue="69993"/>
    </cacheField>
    <cacheField name="Discount" numFmtId="2">
      <sharedItems containsSemiMixedTypes="0" containsString="0" containsNumber="1" containsInteger="1" minValue="12" maxValue="3000"/>
    </cacheField>
    <cacheField name="Subtotal" numFmtId="2">
      <sharedItems containsSemiMixedTypes="0" containsString="0" containsNumber="1" containsInteger="1" minValue="1403" maxValue="347340"/>
    </cacheField>
    <cacheField name="Tax" numFmtId="2">
      <sharedItems containsSemiMixedTypes="0" containsString="0" containsNumber="1" minValue="70.150000000000006" maxValue="17367"/>
    </cacheField>
    <cacheField name="Shipping" numFmtId="2">
      <sharedItems containsSemiMixedTypes="0" containsString="0" containsNumber="1" containsInteger="1" minValue="100" maxValue="500"/>
    </cacheField>
    <cacheField name="Total" numFmtId="2">
      <sharedItems containsSemiMixedTypes="0" containsString="0" containsNumber="1" minValue="1623.15" maxValue="364807" count="100">
        <n v="67600.800000000003"/>
        <n v="4006.5"/>
        <n v="10092.450000000001"/>
        <n v="95708.4"/>
        <n v="52131.65"/>
        <n v="27090.9"/>
        <n v="37462.1"/>
        <n v="163022.9"/>
        <n v="286053.8"/>
        <n v="286275.40000000002"/>
        <n v="139545.79999999999"/>
        <n v="189827.7"/>
        <n v="12733.05"/>
        <n v="31280.400000000001"/>
        <n v="206202.4"/>
        <n v="213363.4"/>
        <n v="122239.1"/>
        <n v="25172.9"/>
        <n v="32221.85"/>
        <n v="28844.25"/>
        <n v="109043.8"/>
        <n v="159155.70000000001"/>
        <n v="51086.15"/>
        <n v="59767.55"/>
        <n v="341520.1"/>
        <n v="95939.75"/>
        <n v="153034.6"/>
        <n v="15162.75"/>
        <n v="93566.399999999994"/>
        <n v="177026.7"/>
        <n v="187398.2"/>
        <n v="128524.7"/>
        <n v="38239.15"/>
        <n v="127314.1"/>
        <n v="29393.95"/>
        <n v="68749"/>
        <n v="69449.600000000006"/>
        <n v="146046.1"/>
        <n v="238847.2"/>
        <n v="15156.45"/>
        <n v="39305.15"/>
        <n v="87566.55"/>
        <n v="187779.1"/>
        <n v="142250.29999999999"/>
        <n v="69626.25"/>
        <n v="217994.2"/>
        <n v="37617.5"/>
        <n v="89950.2"/>
        <n v="40670.550000000003"/>
        <n v="170968.2"/>
        <n v="187234.1"/>
        <n v="79918.899999999994"/>
        <n v="130277.9"/>
        <n v="126974.1"/>
        <n v="37024.25"/>
        <n v="72035.45"/>
        <n v="186998.9"/>
        <n v="87698.85"/>
        <n v="171015.3"/>
        <n v="59110.25"/>
        <n v="153623.9"/>
        <n v="257108.5"/>
        <n v="163783.4"/>
        <n v="70852.800000000003"/>
        <n v="21653.85"/>
        <n v="201946.2"/>
        <n v="110293.8"/>
        <n v="66572.3"/>
        <n v="27657.75"/>
        <n v="218058.5"/>
        <n v="3448.95"/>
        <n v="1623.15"/>
        <n v="9457.5499999999993"/>
        <n v="67224"/>
        <n v="107823.3"/>
        <n v="46068.95"/>
        <n v="35010.400000000001"/>
        <n v="70111.850000000006"/>
        <n v="108132.9"/>
        <n v="33266.6"/>
        <n v="58961.9"/>
        <n v="16397.55"/>
        <n v="228236.1"/>
        <n v="133456.6"/>
        <n v="62328.75"/>
        <n v="71509.399999999994"/>
        <n v="189828.7"/>
        <n v="25187.599999999999"/>
        <n v="364807"/>
        <n v="159607.20000000001"/>
        <n v="43415.1"/>
        <n v="298138.59999999998"/>
        <n v="213888.4"/>
        <n v="215278.9"/>
        <n v="22870.799999999999"/>
        <n v="152610.9"/>
        <n v="85886.7"/>
        <n v="174096.8"/>
        <n v="9511.7999999999993"/>
        <n v="107468.8"/>
      </sharedItems>
    </cacheField>
    <cacheField name="Status" numFmtId="0">
      <sharedItems/>
    </cacheField>
    <cacheField name="Ship_Date" numFmtId="0">
      <sharedItems containsDate="1" containsMixedTypes="1" minDate="2032-05-22T00:00:00" maxDate="2033-05-23T00:00:00"/>
    </cacheField>
    <cacheField name="Return_Flag" numFmtId="0">
      <sharedItems/>
    </cacheField>
    <cacheField name="Flag value" numFmtId="0">
      <sharedItems containsSemiMixedTypes="0" containsString="0" containsNumber="1" containsInteger="1" minValue="0" maxValue="1"/>
    </cacheField>
    <cacheField name="Months (Order_Date)" numFmtId="0" databaseField="0">
      <fieldGroup base="1">
        <rangePr groupBy="months" startDate="2024-01-02T00:00:00" endDate="2025-12-30T00:00:00"/>
        <groupItems count="14">
          <s v="&lt;02/01/2024"/>
          <s v="Jan"/>
          <s v="Feb"/>
          <s v="Mar"/>
          <s v="Apr"/>
          <s v="May"/>
          <s v="Jun"/>
          <s v="Jul"/>
          <s v="Aug"/>
          <s v="Sep"/>
          <s v="Oct"/>
          <s v="Nov"/>
          <s v="Dec"/>
          <s v="&gt;30/12/2025"/>
        </groupItems>
      </fieldGroup>
    </cacheField>
    <cacheField name="Quarters (Order_Date)" numFmtId="0" databaseField="0">
      <fieldGroup base="1">
        <rangePr groupBy="quarters" startDate="2024-01-02T00:00:00" endDate="2025-12-30T00:00:00"/>
        <groupItems count="6">
          <s v="&lt;02/01/2024"/>
          <s v="Qtr1"/>
          <s v="Qtr2"/>
          <s v="Qtr3"/>
          <s v="Qtr4"/>
          <s v="&gt;30/12/2025"/>
        </groupItems>
      </fieldGroup>
    </cacheField>
    <cacheField name="Years (Order_Date)" numFmtId="0" databaseField="0">
      <fieldGroup base="1">
        <rangePr groupBy="years" startDate="2024-01-02T00:00:00" endDate="2025-12-30T00:00:00"/>
        <groupItems count="4">
          <s v="&lt;02/01/2024"/>
          <s v="2024"/>
          <s v="2025"/>
          <s v="&gt;30/12/2025"/>
        </groupItems>
      </fieldGroup>
    </cacheField>
  </cacheFields>
  <extLst>
    <ext xmlns:x14="http://schemas.microsoft.com/office/spreadsheetml/2009/9/main" uri="{725AE2AE-9491-48be-B2B4-4EB974FC3084}">
      <x14:pivotCacheDefinition pivotCacheId="968534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x v="0"/>
    <s v="C001"/>
    <s v="Premium"/>
    <x v="0"/>
    <x v="0"/>
    <s v="Laptop"/>
    <s v="P101"/>
    <x v="0"/>
    <s v="Apple"/>
    <n v="1"/>
    <n v="65937"/>
    <n v="1841"/>
    <n v="64096"/>
    <n v="3204.8"/>
    <n v="300"/>
    <x v="0"/>
    <s v="Cancelled"/>
    <s v="22-05-2024"/>
    <s v="No"/>
    <n v="0"/>
  </r>
  <r>
    <n v="1002"/>
    <x v="1"/>
    <s v="C002"/>
    <s v="Regular"/>
    <x v="1"/>
    <x v="1"/>
    <s v="Table"/>
    <s v="P102"/>
    <x v="1"/>
    <s v="Dell"/>
    <n v="5"/>
    <n v="1276"/>
    <n v="2850"/>
    <n v="3530"/>
    <n v="176.5"/>
    <n v="300"/>
    <x v="1"/>
    <s v="Returned"/>
    <s v="22-05-2025"/>
    <s v="Yes"/>
    <n v="1"/>
  </r>
  <r>
    <n v="1003"/>
    <x v="2"/>
    <s v="C003"/>
    <s v="Regular"/>
    <x v="0"/>
    <x v="0"/>
    <s v="Tablet"/>
    <s v="P103"/>
    <x v="2"/>
    <s v="OnePlus"/>
    <n v="5"/>
    <n v="2206"/>
    <n v="1561"/>
    <n v="9469"/>
    <n v="473.45"/>
    <n v="150"/>
    <x v="2"/>
    <s v="Returned"/>
    <s v="22-05-2026"/>
    <s v="Yes"/>
    <n v="1"/>
  </r>
  <r>
    <n v="1004"/>
    <x v="3"/>
    <s v="C004"/>
    <s v="Premium"/>
    <x v="1"/>
    <x v="2"/>
    <s v="Shirt"/>
    <s v="P104"/>
    <x v="3"/>
    <s v="Ikea"/>
    <n v="3"/>
    <n v="31260"/>
    <n v="2772"/>
    <n v="91008"/>
    <n v="4550.3999999999996"/>
    <n v="150"/>
    <x v="3"/>
    <s v="Returned"/>
    <s v="22-05-2027"/>
    <s v="Yes"/>
    <n v="1"/>
  </r>
  <r>
    <n v="1005"/>
    <x v="4"/>
    <s v="C005"/>
    <s v="Regular"/>
    <x v="2"/>
    <x v="0"/>
    <s v="Tablet"/>
    <s v="P105"/>
    <x v="4"/>
    <s v="Dell"/>
    <n v="3"/>
    <n v="16845"/>
    <n v="1362"/>
    <n v="49173"/>
    <n v="2458.65"/>
    <n v="500"/>
    <x v="4"/>
    <s v="Returned"/>
    <s v="22-05-2028"/>
    <s v="Yes"/>
    <n v="1"/>
  </r>
  <r>
    <n v="1006"/>
    <x v="5"/>
    <s v="C006"/>
    <s v="Premium"/>
    <x v="3"/>
    <x v="2"/>
    <s v="Jeans"/>
    <s v="P106"/>
    <x v="5"/>
    <s v="Levis"/>
    <n v="5"/>
    <n v="5525"/>
    <n v="1967"/>
    <n v="25658"/>
    <n v="1282.9000000000001"/>
    <n v="150"/>
    <x v="5"/>
    <s v="Cancelled"/>
    <s v="22-05-2029"/>
    <s v="No"/>
    <n v="0"/>
  </r>
  <r>
    <n v="1007"/>
    <x v="6"/>
    <s v="C007"/>
    <s v="Regular"/>
    <x v="3"/>
    <x v="2"/>
    <s v="Shoes"/>
    <s v="P107"/>
    <x v="6"/>
    <s v="Dell"/>
    <n v="3"/>
    <n v="12333"/>
    <n v="1797"/>
    <n v="35202"/>
    <n v="1760.1"/>
    <n v="500"/>
    <x v="6"/>
    <s v="Delivered"/>
    <s v="22-05-2030"/>
    <s v="No"/>
    <n v="0"/>
  </r>
  <r>
    <n v="1008"/>
    <x v="7"/>
    <s v="C008"/>
    <s v="Regular"/>
    <x v="1"/>
    <x v="1"/>
    <s v="Chair"/>
    <s v="P108"/>
    <x v="7"/>
    <s v="OnePlus"/>
    <n v="3"/>
    <n v="52589"/>
    <n v="2650"/>
    <n v="155117"/>
    <n v="7755.85"/>
    <n v="150"/>
    <x v="7"/>
    <s v="Delivered"/>
    <s v="22-05-2031"/>
    <s v="No"/>
    <n v="0"/>
  </r>
  <r>
    <n v="1009"/>
    <x v="8"/>
    <s v="C009"/>
    <s v="Premium"/>
    <x v="2"/>
    <x v="2"/>
    <s v="Shirt"/>
    <s v="P109"/>
    <x v="8"/>
    <s v="Levis"/>
    <n v="4"/>
    <n v="68341"/>
    <n v="1408"/>
    <n v="271956"/>
    <n v="13597.8"/>
    <n v="500"/>
    <x v="8"/>
    <s v="Returned"/>
    <d v="2032-05-22T00:00:00"/>
    <s v="Yes"/>
    <n v="1"/>
  </r>
  <r>
    <n v="1010"/>
    <x v="9"/>
    <s v="C010"/>
    <s v="Regular"/>
    <x v="3"/>
    <x v="2"/>
    <s v="Shirt"/>
    <s v="P110"/>
    <x v="9"/>
    <s v="Apple"/>
    <n v="4"/>
    <n v="68174"/>
    <n v="529"/>
    <n v="272167"/>
    <n v="13608.35"/>
    <n v="500"/>
    <x v="9"/>
    <s v="Cancelled"/>
    <d v="2033-05-22T00:00:00"/>
    <s v="No"/>
    <n v="0"/>
  </r>
  <r>
    <n v="1011"/>
    <x v="10"/>
    <s v="C011"/>
    <s v="Premium"/>
    <x v="2"/>
    <x v="2"/>
    <s v="Shoes"/>
    <s v="P111"/>
    <x v="10"/>
    <s v="Apple"/>
    <n v="2"/>
    <n v="67154"/>
    <n v="1693"/>
    <n v="132615"/>
    <n v="6630.75"/>
    <n v="300"/>
    <x v="10"/>
    <s v="Returned"/>
    <s v="22-05-2034"/>
    <s v="Yes"/>
    <n v="1"/>
  </r>
  <r>
    <n v="1012"/>
    <x v="11"/>
    <s v="C012"/>
    <s v="Regular"/>
    <x v="0"/>
    <x v="2"/>
    <s v="Shoes"/>
    <s v="P112"/>
    <x v="11"/>
    <s v="OnePlus"/>
    <n v="3"/>
    <n v="61050"/>
    <n v="2457"/>
    <n v="180693"/>
    <n v="9034.65"/>
    <n v="100"/>
    <x v="11"/>
    <s v="Delivered"/>
    <s v="22-05-2035"/>
    <s v="No"/>
    <n v="0"/>
  </r>
  <r>
    <n v="1013"/>
    <x v="12"/>
    <s v="C013"/>
    <s v="Premium"/>
    <x v="0"/>
    <x v="1"/>
    <s v="Chair"/>
    <s v="P113"/>
    <x v="12"/>
    <s v="Dell"/>
    <n v="1"/>
    <n v="11909"/>
    <n v="68"/>
    <n v="11841"/>
    <n v="592.04999999999995"/>
    <n v="300"/>
    <x v="12"/>
    <s v="Delivered"/>
    <s v="22-05-2036"/>
    <s v="No"/>
    <n v="0"/>
  </r>
  <r>
    <n v="1014"/>
    <x v="13"/>
    <s v="C014"/>
    <s v="Regular"/>
    <x v="2"/>
    <x v="0"/>
    <s v="Laptop"/>
    <s v="P114"/>
    <x v="13"/>
    <s v="Levis"/>
    <n v="3"/>
    <n v="10111"/>
    <n v="685"/>
    <n v="29648"/>
    <n v="1482.4"/>
    <n v="150"/>
    <x v="13"/>
    <s v="Returned"/>
    <s v="22-05-2037"/>
    <s v="Yes"/>
    <n v="1"/>
  </r>
  <r>
    <n v="1015"/>
    <x v="14"/>
    <s v="C015"/>
    <s v="Premium"/>
    <x v="3"/>
    <x v="1"/>
    <s v="Sofa"/>
    <s v="P115"/>
    <x v="14"/>
    <s v="Dell"/>
    <n v="3"/>
    <n v="66076"/>
    <n v="1940"/>
    <n v="196288"/>
    <n v="9814.4"/>
    <n v="100"/>
    <x v="14"/>
    <s v="Delivered"/>
    <s v="22-05-2038"/>
    <s v="No"/>
    <n v="0"/>
  </r>
  <r>
    <n v="1016"/>
    <x v="15"/>
    <s v="C016"/>
    <s v="Regular"/>
    <x v="0"/>
    <x v="1"/>
    <s v="Chair"/>
    <s v="P116"/>
    <x v="15"/>
    <s v="Apple"/>
    <n v="3"/>
    <n v="67861"/>
    <n v="856"/>
    <n v="202727"/>
    <n v="10136.35"/>
    <n v="500"/>
    <x v="15"/>
    <s v="Returned"/>
    <s v="22-05-2039"/>
    <s v="Yes"/>
    <n v="1"/>
  </r>
  <r>
    <n v="1017"/>
    <x v="16"/>
    <s v="C017"/>
    <s v="Premium"/>
    <x v="0"/>
    <x v="0"/>
    <s v="Tablet"/>
    <s v="P117"/>
    <x v="16"/>
    <s v="Levis"/>
    <n v="2"/>
    <n v="59414"/>
    <n v="2886"/>
    <n v="115942"/>
    <n v="5797.1"/>
    <n v="500"/>
    <x v="16"/>
    <s v="Cancelled"/>
    <s v="22-05-2040"/>
    <s v="No"/>
    <n v="0"/>
  </r>
  <r>
    <n v="1018"/>
    <x v="17"/>
    <s v="C018"/>
    <s v="Premium"/>
    <x v="1"/>
    <x v="1"/>
    <s v="Chair"/>
    <s v="P118"/>
    <x v="17"/>
    <s v="Levis"/>
    <n v="5"/>
    <n v="5023"/>
    <n v="1617"/>
    <n v="23498"/>
    <n v="1174.9000000000001"/>
    <n v="500"/>
    <x v="17"/>
    <s v="Returned"/>
    <s v="22-05-2041"/>
    <s v="Yes"/>
    <n v="1"/>
  </r>
  <r>
    <n v="1019"/>
    <x v="18"/>
    <s v="C019"/>
    <s v="Regular"/>
    <x v="3"/>
    <x v="0"/>
    <s v="Mobile"/>
    <s v="P119"/>
    <x v="18"/>
    <s v="Nike"/>
    <n v="3"/>
    <n v="10270"/>
    <n v="313"/>
    <n v="30497"/>
    <n v="1524.85"/>
    <n v="200"/>
    <x v="18"/>
    <s v="Returned"/>
    <s v="22-05-2042"/>
    <s v="Yes"/>
    <n v="1"/>
  </r>
  <r>
    <n v="1020"/>
    <x v="19"/>
    <s v="C020"/>
    <s v="Regular"/>
    <x v="3"/>
    <x v="0"/>
    <s v="Tablet"/>
    <s v="P120"/>
    <x v="19"/>
    <s v="Samsung"/>
    <n v="1"/>
    <n v="29520"/>
    <n v="2335"/>
    <n v="27185"/>
    <n v="1359.25"/>
    <n v="300"/>
    <x v="19"/>
    <s v="Delivered"/>
    <s v="22-05-2043"/>
    <s v="No"/>
    <n v="0"/>
  </r>
  <r>
    <n v="1021"/>
    <x v="20"/>
    <s v="C021"/>
    <s v="Premium"/>
    <x v="2"/>
    <x v="0"/>
    <s v="Tablet"/>
    <s v="P121"/>
    <x v="20"/>
    <s v="Nike"/>
    <n v="4"/>
    <n v="26443"/>
    <n v="2016"/>
    <n v="103756"/>
    <n v="5187.8"/>
    <n v="100"/>
    <x v="20"/>
    <s v="Cancelled"/>
    <s v="22-05-2044"/>
    <s v="No"/>
    <n v="0"/>
  </r>
  <r>
    <n v="1022"/>
    <x v="21"/>
    <s v="C022"/>
    <s v="Premium"/>
    <x v="0"/>
    <x v="1"/>
    <s v="Sofa"/>
    <s v="P122"/>
    <x v="21"/>
    <s v="Dell"/>
    <n v="4"/>
    <n v="37877"/>
    <n v="74"/>
    <n v="151434"/>
    <n v="7571.7"/>
    <n v="150"/>
    <x v="21"/>
    <s v="Delivered"/>
    <s v="22-05-2045"/>
    <s v="No"/>
    <n v="0"/>
  </r>
  <r>
    <n v="1023"/>
    <x v="22"/>
    <s v="C023"/>
    <s v="Premium"/>
    <x v="0"/>
    <x v="1"/>
    <s v="Sofa"/>
    <s v="P123"/>
    <x v="22"/>
    <s v="Apple"/>
    <n v="1"/>
    <n v="50706"/>
    <n v="2243"/>
    <n v="48463"/>
    <n v="2423.15"/>
    <n v="200"/>
    <x v="22"/>
    <s v="Cancelled"/>
    <s v="22-05-2046"/>
    <s v="No"/>
    <n v="0"/>
  </r>
  <r>
    <n v="1024"/>
    <x v="23"/>
    <s v="C024"/>
    <s v="Premium"/>
    <x v="2"/>
    <x v="0"/>
    <s v="Mobile"/>
    <s v="P124"/>
    <x v="23"/>
    <s v="Dell"/>
    <n v="2"/>
    <n v="28914"/>
    <n v="1097"/>
    <n v="56731"/>
    <n v="2836.55"/>
    <n v="200"/>
    <x v="23"/>
    <s v="Cancelled"/>
    <s v="22-05-2047"/>
    <s v="No"/>
    <n v="0"/>
  </r>
  <r>
    <n v="1025"/>
    <x v="24"/>
    <s v="C025"/>
    <s v="Regular"/>
    <x v="2"/>
    <x v="1"/>
    <s v="Chair"/>
    <s v="P125"/>
    <x v="24"/>
    <s v="Apple"/>
    <n v="5"/>
    <n v="65067"/>
    <n v="554"/>
    <n v="324781"/>
    <n v="16239.05"/>
    <n v="500"/>
    <x v="24"/>
    <s v="Cancelled"/>
    <s v="22-05-2048"/>
    <s v="No"/>
    <n v="0"/>
  </r>
  <r>
    <n v="1026"/>
    <x v="25"/>
    <s v="C026"/>
    <s v="Premium"/>
    <x v="1"/>
    <x v="1"/>
    <s v="Chair"/>
    <s v="P126"/>
    <x v="25"/>
    <s v="Nike"/>
    <n v="2"/>
    <n v="45682"/>
    <n v="469"/>
    <n v="90895"/>
    <n v="4544.75"/>
    <n v="500"/>
    <x v="25"/>
    <s v="Cancelled"/>
    <s v="22-05-2049"/>
    <s v="No"/>
    <n v="0"/>
  </r>
  <r>
    <n v="1027"/>
    <x v="26"/>
    <s v="C027"/>
    <s v="Regular"/>
    <x v="3"/>
    <x v="2"/>
    <s v="Shirt"/>
    <s v="P127"/>
    <x v="26"/>
    <s v="Dell"/>
    <n v="3"/>
    <n v="48827"/>
    <n v="1210"/>
    <n v="145271"/>
    <n v="7263.55"/>
    <n v="500"/>
    <x v="26"/>
    <s v="Cancelled"/>
    <s v="22-05-2050"/>
    <s v="No"/>
    <n v="0"/>
  </r>
  <r>
    <n v="1028"/>
    <x v="27"/>
    <s v="C028"/>
    <s v="Regular"/>
    <x v="0"/>
    <x v="1"/>
    <s v="Chair"/>
    <s v="P128"/>
    <x v="27"/>
    <s v="Samsung"/>
    <n v="5"/>
    <n v="2906"/>
    <n v="375"/>
    <n v="14155"/>
    <n v="707.75"/>
    <n v="300"/>
    <x v="27"/>
    <s v="Delivered"/>
    <s v="22-05-2051"/>
    <s v="No"/>
    <n v="0"/>
  </r>
  <r>
    <n v="1029"/>
    <x v="28"/>
    <s v="C029"/>
    <s v="Regular"/>
    <x v="3"/>
    <x v="0"/>
    <s v="Mobile"/>
    <s v="P129"/>
    <x v="28"/>
    <s v="Ikea"/>
    <n v="4"/>
    <n v="22939"/>
    <n v="2788"/>
    <n v="88968"/>
    <n v="4448.3999999999996"/>
    <n v="150"/>
    <x v="28"/>
    <s v="Delivered"/>
    <s v="22-05-2052"/>
    <s v="No"/>
    <n v="0"/>
  </r>
  <r>
    <n v="1030"/>
    <x v="29"/>
    <s v="C030"/>
    <s v="Premium"/>
    <x v="1"/>
    <x v="2"/>
    <s v="Jeans"/>
    <s v="P130"/>
    <x v="29"/>
    <s v="Apple"/>
    <n v="4"/>
    <n v="42216"/>
    <n v="410"/>
    <n v="168454"/>
    <n v="8422.7000000000007"/>
    <n v="150"/>
    <x v="29"/>
    <s v="Cancelled"/>
    <s v="22-05-2053"/>
    <s v="No"/>
    <n v="0"/>
  </r>
  <r>
    <n v="1031"/>
    <x v="30"/>
    <s v="C031"/>
    <s v="Regular"/>
    <x v="1"/>
    <x v="2"/>
    <s v="Shoes"/>
    <s v="P131"/>
    <x v="30"/>
    <s v="Dell"/>
    <n v="3"/>
    <n v="59962"/>
    <n v="1602"/>
    <n v="178284"/>
    <n v="8914.2000000000007"/>
    <n v="200"/>
    <x v="30"/>
    <s v="Returned"/>
    <s v="22-05-2054"/>
    <s v="Yes"/>
    <n v="1"/>
  </r>
  <r>
    <n v="1032"/>
    <x v="31"/>
    <s v="C032"/>
    <s v="Regular"/>
    <x v="0"/>
    <x v="0"/>
    <s v="Laptop"/>
    <s v="P132"/>
    <x v="31"/>
    <s v="Dell"/>
    <n v="2"/>
    <n v="62462"/>
    <n v="2710"/>
    <n v="122214"/>
    <n v="6110.7"/>
    <n v="200"/>
    <x v="31"/>
    <s v="Returned"/>
    <s v="22-05-2055"/>
    <s v="Yes"/>
    <n v="1"/>
  </r>
  <r>
    <n v="1033"/>
    <x v="32"/>
    <s v="C033"/>
    <s v="Premium"/>
    <x v="0"/>
    <x v="1"/>
    <s v="Chair"/>
    <s v="P133"/>
    <x v="32"/>
    <s v="Ikea"/>
    <n v="3"/>
    <n v="12719"/>
    <n v="1834"/>
    <n v="36323"/>
    <n v="1816.15"/>
    <n v="100"/>
    <x v="32"/>
    <s v="Cancelled"/>
    <s v="22-05-2056"/>
    <s v="No"/>
    <n v="0"/>
  </r>
  <r>
    <n v="1034"/>
    <x v="33"/>
    <s v="C034"/>
    <s v="Regular"/>
    <x v="0"/>
    <x v="1"/>
    <s v="Chair"/>
    <s v="P134"/>
    <x v="33"/>
    <s v="Samsung"/>
    <n v="3"/>
    <n v="40689"/>
    <n v="1006"/>
    <n v="121061"/>
    <n v="6053.05"/>
    <n v="200"/>
    <x v="33"/>
    <s v="Delivered"/>
    <s v="22-05-2057"/>
    <s v="No"/>
    <n v="0"/>
  </r>
  <r>
    <n v="1035"/>
    <x v="34"/>
    <s v="C035"/>
    <s v="Regular"/>
    <x v="2"/>
    <x v="1"/>
    <s v="Chair"/>
    <s v="P135"/>
    <x v="34"/>
    <s v="OnePlus"/>
    <n v="3"/>
    <n v="10295"/>
    <n v="2986"/>
    <n v="27899"/>
    <n v="1394.95"/>
    <n v="100"/>
    <x v="34"/>
    <s v="Delivered"/>
    <s v="22-05-2058"/>
    <s v="No"/>
    <n v="0"/>
  </r>
  <r>
    <n v="1036"/>
    <x v="35"/>
    <s v="C036"/>
    <s v="Regular"/>
    <x v="0"/>
    <x v="1"/>
    <s v="Chair"/>
    <s v="P136"/>
    <x v="35"/>
    <s v="OnePlus"/>
    <n v="1"/>
    <n v="66723"/>
    <n v="1343"/>
    <n v="65380"/>
    <n v="3269"/>
    <n v="100"/>
    <x v="35"/>
    <s v="Cancelled"/>
    <s v="22-05-2059"/>
    <s v="No"/>
    <n v="0"/>
  </r>
  <r>
    <n v="1037"/>
    <x v="36"/>
    <s v="C037"/>
    <s v="Regular"/>
    <x v="0"/>
    <x v="1"/>
    <s v="Table"/>
    <s v="P137"/>
    <x v="36"/>
    <s v="Nike"/>
    <n v="1"/>
    <n v="68417"/>
    <n v="2465"/>
    <n v="65952"/>
    <n v="3297.6"/>
    <n v="200"/>
    <x v="36"/>
    <s v="Delivered"/>
    <s v="22-05-2060"/>
    <s v="No"/>
    <n v="0"/>
  </r>
  <r>
    <n v="1038"/>
    <x v="37"/>
    <s v="C038"/>
    <s v="Regular"/>
    <x v="1"/>
    <x v="2"/>
    <s v="Shoes"/>
    <s v="P138"/>
    <x v="37"/>
    <s v="Levis"/>
    <n v="5"/>
    <n v="27926"/>
    <n v="729"/>
    <n v="138901"/>
    <n v="6945.05"/>
    <n v="200"/>
    <x v="37"/>
    <s v="Returned"/>
    <s v="22-05-2061"/>
    <s v="Yes"/>
    <n v="1"/>
  </r>
  <r>
    <n v="1039"/>
    <x v="38"/>
    <s v="C039"/>
    <s v="Premium"/>
    <x v="3"/>
    <x v="1"/>
    <s v="Chair"/>
    <s v="P139"/>
    <x v="38"/>
    <s v="Apple"/>
    <n v="4"/>
    <n v="57383"/>
    <n v="2249"/>
    <n v="227283"/>
    <n v="11364.15"/>
    <n v="200"/>
    <x v="38"/>
    <s v="Cancelled"/>
    <s v="22-05-2062"/>
    <s v="No"/>
    <n v="0"/>
  </r>
  <r>
    <n v="1040"/>
    <x v="39"/>
    <s v="C040"/>
    <s v="Regular"/>
    <x v="1"/>
    <x v="0"/>
    <s v="Laptop"/>
    <s v="P140"/>
    <x v="39"/>
    <s v="Levis"/>
    <n v="4"/>
    <n v="4199"/>
    <n v="2647"/>
    <n v="14149"/>
    <n v="707.45"/>
    <n v="300"/>
    <x v="39"/>
    <s v="Cancelled"/>
    <s v="22-05-2063"/>
    <s v="No"/>
    <n v="0"/>
  </r>
  <r>
    <n v="1041"/>
    <x v="40"/>
    <s v="C041"/>
    <s v="Premium"/>
    <x v="0"/>
    <x v="0"/>
    <s v="Tablet"/>
    <s v="P141"/>
    <x v="40"/>
    <s v="Nike"/>
    <n v="2"/>
    <n v="19152"/>
    <n v="1061"/>
    <n v="37243"/>
    <n v="1862.15"/>
    <n v="200"/>
    <x v="40"/>
    <s v="Returned"/>
    <s v="22-05-2064"/>
    <s v="Yes"/>
    <n v="1"/>
  </r>
  <r>
    <n v="1042"/>
    <x v="41"/>
    <s v="C042"/>
    <s v="Regular"/>
    <x v="0"/>
    <x v="1"/>
    <s v="Chair"/>
    <s v="P142"/>
    <x v="41"/>
    <s v="Dell"/>
    <n v="2"/>
    <n v="42581"/>
    <n v="2051"/>
    <n v="83111"/>
    <n v="4155.55"/>
    <n v="300"/>
    <x v="41"/>
    <s v="Cancelled"/>
    <s v="22-05-2065"/>
    <s v="No"/>
    <n v="0"/>
  </r>
  <r>
    <n v="1043"/>
    <x v="42"/>
    <s v="C043"/>
    <s v="Premium"/>
    <x v="0"/>
    <x v="0"/>
    <s v="Tablet"/>
    <s v="P143"/>
    <x v="42"/>
    <s v="Apple"/>
    <n v="4"/>
    <n v="45164"/>
    <n v="2295"/>
    <n v="178361"/>
    <n v="8918.0499999999993"/>
    <n v="500"/>
    <x v="42"/>
    <s v="Cancelled"/>
    <s v="22-05-2066"/>
    <s v="No"/>
    <n v="0"/>
  </r>
  <r>
    <n v="1044"/>
    <x v="43"/>
    <s v="C044"/>
    <s v="Premium"/>
    <x v="2"/>
    <x v="2"/>
    <s v="Jeans"/>
    <s v="P144"/>
    <x v="43"/>
    <s v="Samsung"/>
    <n v="2"/>
    <n v="68060"/>
    <n v="834"/>
    <n v="135286"/>
    <n v="6764.3"/>
    <n v="200"/>
    <x v="43"/>
    <s v="Returned"/>
    <s v="22-05-2067"/>
    <s v="Yes"/>
    <n v="1"/>
  </r>
  <r>
    <n v="1045"/>
    <x v="44"/>
    <s v="C045"/>
    <s v="Regular"/>
    <x v="2"/>
    <x v="2"/>
    <s v="Shirt"/>
    <s v="P145"/>
    <x v="44"/>
    <s v="Ikea"/>
    <n v="1"/>
    <n v="68364"/>
    <n v="2339"/>
    <n v="66025"/>
    <n v="3301.25"/>
    <n v="300"/>
    <x v="44"/>
    <s v="Delivered"/>
    <s v="22-05-2068"/>
    <s v="No"/>
    <n v="0"/>
  </r>
  <r>
    <n v="1046"/>
    <x v="45"/>
    <s v="C046"/>
    <s v="Regular"/>
    <x v="1"/>
    <x v="2"/>
    <s v="Shirt"/>
    <s v="P146"/>
    <x v="45"/>
    <s v="Nike"/>
    <n v="4"/>
    <n v="52590"/>
    <n v="2937"/>
    <n v="207423"/>
    <n v="10371.15"/>
    <n v="200"/>
    <x v="45"/>
    <s v="Returned"/>
    <s v="22-05-2069"/>
    <s v="Yes"/>
    <n v="1"/>
  </r>
  <r>
    <n v="1047"/>
    <x v="46"/>
    <s v="C047"/>
    <s v="Regular"/>
    <x v="3"/>
    <x v="2"/>
    <s v="Shirt"/>
    <s v="P147"/>
    <x v="46"/>
    <s v="OnePlus"/>
    <n v="3"/>
    <n v="11973"/>
    <n v="569"/>
    <n v="35350"/>
    <n v="1767.5"/>
    <n v="500"/>
    <x v="46"/>
    <s v="Cancelled"/>
    <s v="22-05-2070"/>
    <s v="No"/>
    <n v="0"/>
  </r>
  <r>
    <n v="1048"/>
    <x v="47"/>
    <s v="C048"/>
    <s v="Premium"/>
    <x v="0"/>
    <x v="1"/>
    <s v="Table"/>
    <s v="P148"/>
    <x v="47"/>
    <s v="Apple"/>
    <n v="2"/>
    <n v="43659"/>
    <n v="1794"/>
    <n v="85524"/>
    <n v="4276.2"/>
    <n v="150"/>
    <x v="47"/>
    <s v="Cancelled"/>
    <s v="22-05-2071"/>
    <s v="No"/>
    <n v="0"/>
  </r>
  <r>
    <n v="1049"/>
    <x v="48"/>
    <s v="C049"/>
    <s v="Regular"/>
    <x v="0"/>
    <x v="2"/>
    <s v="Jeans"/>
    <s v="P149"/>
    <x v="48"/>
    <s v="Nike"/>
    <n v="1"/>
    <n v="39728"/>
    <n v="1137"/>
    <n v="38591"/>
    <n v="1929.55"/>
    <n v="150"/>
    <x v="48"/>
    <s v="Returned"/>
    <s v="22-05-2072"/>
    <s v="Yes"/>
    <n v="1"/>
  </r>
  <r>
    <n v="1050"/>
    <x v="49"/>
    <s v="C050"/>
    <s v="Premium"/>
    <x v="0"/>
    <x v="0"/>
    <s v="Mobile"/>
    <s v="P150"/>
    <x v="49"/>
    <s v="Nike"/>
    <n v="5"/>
    <n v="32750"/>
    <n v="1066"/>
    <n v="162684"/>
    <n v="8134.2"/>
    <n v="150"/>
    <x v="49"/>
    <s v="Delivered"/>
    <s v="22-05-2073"/>
    <s v="No"/>
    <n v="0"/>
  </r>
  <r>
    <n v="1051"/>
    <x v="50"/>
    <s v="C051"/>
    <s v="Premium"/>
    <x v="3"/>
    <x v="1"/>
    <s v="Sofa"/>
    <s v="P151"/>
    <x v="50"/>
    <s v="OnePlus"/>
    <n v="3"/>
    <n v="59510"/>
    <n v="688"/>
    <n v="177842"/>
    <n v="8892.1"/>
    <n v="500"/>
    <x v="50"/>
    <s v="Returned"/>
    <s v="22-05-2074"/>
    <s v="Yes"/>
    <n v="1"/>
  </r>
  <r>
    <n v="1052"/>
    <x v="51"/>
    <s v="C052"/>
    <s v="Regular"/>
    <x v="2"/>
    <x v="2"/>
    <s v="Jeans"/>
    <s v="P152"/>
    <x v="51"/>
    <s v="Levis"/>
    <n v="2"/>
    <n v="38230"/>
    <n v="442"/>
    <n v="76018"/>
    <n v="3800.9"/>
    <n v="100"/>
    <x v="51"/>
    <s v="Delivered"/>
    <s v="22-05-2075"/>
    <s v="No"/>
    <n v="0"/>
  </r>
  <r>
    <n v="1053"/>
    <x v="52"/>
    <s v="C053"/>
    <s v="Premium"/>
    <x v="2"/>
    <x v="0"/>
    <s v="Tablet"/>
    <s v="P153"/>
    <x v="52"/>
    <s v="Apple"/>
    <n v="3"/>
    <n v="41796"/>
    <n v="1790"/>
    <n v="123598"/>
    <n v="6179.9"/>
    <n v="500"/>
    <x v="52"/>
    <s v="Cancelled"/>
    <s v="22-05-2076"/>
    <s v="No"/>
    <n v="0"/>
  </r>
  <r>
    <n v="1054"/>
    <x v="53"/>
    <s v="C054"/>
    <s v="Premium"/>
    <x v="1"/>
    <x v="2"/>
    <s v="Jeans"/>
    <s v="P154"/>
    <x v="53"/>
    <s v="Levis"/>
    <n v="3"/>
    <n v="40950"/>
    <n v="2208"/>
    <n v="120642"/>
    <n v="6032.1"/>
    <n v="300"/>
    <x v="53"/>
    <s v="Returned"/>
    <s v="22-05-2077"/>
    <s v="Yes"/>
    <n v="1"/>
  </r>
  <r>
    <n v="1055"/>
    <x v="54"/>
    <s v="C055"/>
    <s v="Regular"/>
    <x v="3"/>
    <x v="0"/>
    <s v="Tablet"/>
    <s v="P155"/>
    <x v="54"/>
    <s v="Nike"/>
    <n v="1"/>
    <n v="37388"/>
    <n v="2603"/>
    <n v="34785"/>
    <n v="1739.25"/>
    <n v="500"/>
    <x v="54"/>
    <s v="Cancelled"/>
    <s v="22-05-2078"/>
    <s v="No"/>
    <n v="0"/>
  </r>
  <r>
    <n v="1056"/>
    <x v="55"/>
    <s v="C056"/>
    <s v="Regular"/>
    <x v="2"/>
    <x v="2"/>
    <s v="Shoes"/>
    <s v="P156"/>
    <x v="55"/>
    <s v="Nike"/>
    <n v="3"/>
    <n v="23323"/>
    <n v="1840"/>
    <n v="68129"/>
    <n v="3406.45"/>
    <n v="500"/>
    <x v="55"/>
    <s v="Cancelled"/>
    <s v="22-05-2079"/>
    <s v="No"/>
    <n v="0"/>
  </r>
  <r>
    <n v="1057"/>
    <x v="56"/>
    <s v="C057"/>
    <s v="Regular"/>
    <x v="3"/>
    <x v="2"/>
    <s v="Jeans"/>
    <s v="P157"/>
    <x v="56"/>
    <s v="Levis"/>
    <n v="4"/>
    <n v="45041"/>
    <n v="2546"/>
    <n v="177618"/>
    <n v="8880.9"/>
    <n v="500"/>
    <x v="56"/>
    <s v="Cancelled"/>
    <s v="22-05-2080"/>
    <s v="No"/>
    <n v="0"/>
  </r>
  <r>
    <n v="1058"/>
    <x v="57"/>
    <s v="C058"/>
    <s v="Regular"/>
    <x v="1"/>
    <x v="2"/>
    <s v="Shirt"/>
    <s v="P158"/>
    <x v="57"/>
    <s v="OnePlus"/>
    <n v="4"/>
    <n v="21458"/>
    <n v="2595"/>
    <n v="83237"/>
    <n v="4161.8500000000004"/>
    <n v="300"/>
    <x v="57"/>
    <s v="Returned"/>
    <s v="22-05-2081"/>
    <s v="Yes"/>
    <n v="1"/>
  </r>
  <r>
    <n v="1059"/>
    <x v="58"/>
    <s v="C059"/>
    <s v="Premium"/>
    <x v="0"/>
    <x v="1"/>
    <s v="Table"/>
    <s v="P159"/>
    <x v="58"/>
    <s v="Ikea"/>
    <n v="4"/>
    <n v="40802"/>
    <n v="622"/>
    <n v="162586"/>
    <n v="8129.3"/>
    <n v="300"/>
    <x v="58"/>
    <s v="Returned"/>
    <s v="22-05-2082"/>
    <s v="Yes"/>
    <n v="1"/>
  </r>
  <r>
    <n v="1060"/>
    <x v="59"/>
    <s v="C060"/>
    <s v="Premium"/>
    <x v="1"/>
    <x v="1"/>
    <s v="Sofa"/>
    <s v="P160"/>
    <x v="59"/>
    <s v="Samsung"/>
    <n v="1"/>
    <n v="56390"/>
    <n v="285"/>
    <n v="56105"/>
    <n v="2805.25"/>
    <n v="200"/>
    <x v="59"/>
    <s v="Delivered"/>
    <s v="22-05-2083"/>
    <s v="No"/>
    <n v="0"/>
  </r>
  <r>
    <n v="1061"/>
    <x v="60"/>
    <s v="C061"/>
    <s v="Regular"/>
    <x v="0"/>
    <x v="2"/>
    <s v="Shirt"/>
    <s v="P161"/>
    <x v="60"/>
    <s v="Dell"/>
    <n v="4"/>
    <n v="37149"/>
    <n v="2478"/>
    <n v="146118"/>
    <n v="7305.9"/>
    <n v="200"/>
    <x v="60"/>
    <s v="Delivered"/>
    <s v="22-05-2084"/>
    <s v="No"/>
    <n v="0"/>
  </r>
  <r>
    <n v="1062"/>
    <x v="61"/>
    <s v="C062"/>
    <s v="Regular"/>
    <x v="0"/>
    <x v="0"/>
    <s v="Tablet"/>
    <s v="P162"/>
    <x v="61"/>
    <s v="Dell"/>
    <n v="5"/>
    <n v="49261"/>
    <n v="1916"/>
    <n v="244389"/>
    <n v="12219.45"/>
    <n v="500"/>
    <x v="61"/>
    <s v="Cancelled"/>
    <s v="22-05-2085"/>
    <s v="No"/>
    <n v="0"/>
  </r>
  <r>
    <n v="1063"/>
    <x v="62"/>
    <s v="C063"/>
    <s v="Regular"/>
    <x v="3"/>
    <x v="1"/>
    <s v="Table"/>
    <s v="P163"/>
    <x v="62"/>
    <s v="OnePlus"/>
    <n v="5"/>
    <n v="31423"/>
    <n v="1607"/>
    <n v="155508"/>
    <n v="7775.4"/>
    <n v="500"/>
    <x v="62"/>
    <s v="Returned"/>
    <s v="22-05-2086"/>
    <s v="Yes"/>
    <n v="1"/>
  </r>
  <r>
    <n v="1064"/>
    <x v="63"/>
    <s v="C064"/>
    <s v="Regular"/>
    <x v="3"/>
    <x v="1"/>
    <s v="Sofa"/>
    <s v="P164"/>
    <x v="63"/>
    <s v="Dell"/>
    <n v="2"/>
    <n v="34917"/>
    <n v="2498"/>
    <n v="67336"/>
    <n v="3366.8"/>
    <n v="150"/>
    <x v="63"/>
    <s v="Cancelled"/>
    <s v="22-05-2087"/>
    <s v="No"/>
    <n v="0"/>
  </r>
  <r>
    <n v="1065"/>
    <x v="64"/>
    <s v="C065"/>
    <s v="Regular"/>
    <x v="2"/>
    <x v="1"/>
    <s v="Chair"/>
    <s v="P165"/>
    <x v="64"/>
    <s v="Ikea"/>
    <n v="1"/>
    <n v="22709"/>
    <n v="2372"/>
    <n v="20337"/>
    <n v="1016.85"/>
    <n v="300"/>
    <x v="64"/>
    <s v="Cancelled"/>
    <s v="22-05-2088"/>
    <s v="No"/>
    <n v="0"/>
  </r>
  <r>
    <n v="1066"/>
    <x v="65"/>
    <s v="C066"/>
    <s v="Regular"/>
    <x v="0"/>
    <x v="0"/>
    <s v="Mobile"/>
    <s v="P166"/>
    <x v="65"/>
    <s v="Levis"/>
    <n v="4"/>
    <n v="48328"/>
    <n v="1268"/>
    <n v="192044"/>
    <n v="9602.2000000000007"/>
    <n v="300"/>
    <x v="65"/>
    <s v="Delivered"/>
    <s v="22-05-2089"/>
    <s v="No"/>
    <n v="0"/>
  </r>
  <r>
    <n v="1067"/>
    <x v="66"/>
    <s v="C067"/>
    <s v="Regular"/>
    <x v="1"/>
    <x v="0"/>
    <s v="Mobile"/>
    <s v="P167"/>
    <x v="66"/>
    <s v="Apple"/>
    <n v="2"/>
    <n v="53036"/>
    <n v="1316"/>
    <n v="104756"/>
    <n v="5237.8"/>
    <n v="300"/>
    <x v="66"/>
    <s v="Delivered"/>
    <s v="22-05-2090"/>
    <s v="No"/>
    <n v="0"/>
  </r>
  <r>
    <n v="1068"/>
    <x v="67"/>
    <s v="C068"/>
    <s v="Premium"/>
    <x v="2"/>
    <x v="0"/>
    <s v="Tablet"/>
    <s v="P168"/>
    <x v="67"/>
    <s v="Levis"/>
    <n v="1"/>
    <n v="65809"/>
    <n v="2883"/>
    <n v="62926"/>
    <n v="3146.3"/>
    <n v="500"/>
    <x v="67"/>
    <s v="Cancelled"/>
    <s v="22-05-2091"/>
    <s v="No"/>
    <n v="0"/>
  </r>
  <r>
    <n v="1069"/>
    <x v="68"/>
    <s v="C069"/>
    <s v="Premium"/>
    <x v="3"/>
    <x v="2"/>
    <s v="Shoes"/>
    <s v="P169"/>
    <x v="68"/>
    <s v="Ikea"/>
    <n v="2"/>
    <n v="13482"/>
    <n v="909"/>
    <n v="26055"/>
    <n v="1302.75"/>
    <n v="300"/>
    <x v="68"/>
    <s v="Delivered"/>
    <s v="22-05-2092"/>
    <s v="No"/>
    <n v="0"/>
  </r>
  <r>
    <n v="1070"/>
    <x v="69"/>
    <s v="C070"/>
    <s v="Premium"/>
    <x v="2"/>
    <x v="0"/>
    <s v="Laptop"/>
    <s v="P170"/>
    <x v="69"/>
    <s v="Ikea"/>
    <n v="4"/>
    <n v="52064"/>
    <n v="867"/>
    <n v="207389"/>
    <n v="10369.450000000001"/>
    <n v="300"/>
    <x v="69"/>
    <s v="Cancelled"/>
    <s v="22-05-2093"/>
    <s v="No"/>
    <n v="0"/>
  </r>
  <r>
    <n v="1071"/>
    <x v="70"/>
    <s v="C071"/>
    <s v="Premium"/>
    <x v="2"/>
    <x v="0"/>
    <s v="Mobile"/>
    <s v="P171"/>
    <x v="70"/>
    <s v="Samsung"/>
    <n v="1"/>
    <n v="3020"/>
    <n v="21"/>
    <n v="2999"/>
    <n v="149.94999999999999"/>
    <n v="300"/>
    <x v="70"/>
    <s v="Returned"/>
    <s v="22-05-2094"/>
    <s v="Yes"/>
    <n v="1"/>
  </r>
  <r>
    <n v="1072"/>
    <x v="71"/>
    <s v="C072"/>
    <s v="Regular"/>
    <x v="3"/>
    <x v="2"/>
    <s v="Shirt"/>
    <s v="P172"/>
    <x v="71"/>
    <s v="Dell"/>
    <n v="1"/>
    <n v="2989"/>
    <n v="1586"/>
    <n v="1403"/>
    <n v="70.150000000000006"/>
    <n v="150"/>
    <x v="71"/>
    <s v="Cancelled"/>
    <s v="22-05-2095"/>
    <s v="No"/>
    <n v="0"/>
  </r>
  <r>
    <n v="1073"/>
    <x v="72"/>
    <s v="C073"/>
    <s v="Regular"/>
    <x v="1"/>
    <x v="1"/>
    <s v="Sofa"/>
    <s v="P173"/>
    <x v="72"/>
    <s v="Dell"/>
    <n v="3"/>
    <n v="2892"/>
    <n v="145"/>
    <n v="8531"/>
    <n v="426.55"/>
    <n v="500"/>
    <x v="72"/>
    <s v="Delivered"/>
    <s v="22-05-2096"/>
    <s v="No"/>
    <n v="0"/>
  </r>
  <r>
    <n v="1074"/>
    <x v="73"/>
    <s v="C074"/>
    <s v="Premium"/>
    <x v="0"/>
    <x v="0"/>
    <s v="Mobile"/>
    <s v="P174"/>
    <x v="73"/>
    <s v="Levis"/>
    <n v="1"/>
    <n v="66491"/>
    <n v="2611"/>
    <n v="63880"/>
    <n v="3194"/>
    <n v="150"/>
    <x v="73"/>
    <s v="Cancelled"/>
    <s v="22-05-2097"/>
    <s v="No"/>
    <n v="0"/>
  </r>
  <r>
    <n v="1075"/>
    <x v="74"/>
    <s v="C075"/>
    <s v="Regular"/>
    <x v="0"/>
    <x v="1"/>
    <s v="Sofa"/>
    <s v="P175"/>
    <x v="74"/>
    <s v="Dell"/>
    <n v="3"/>
    <n v="35058"/>
    <n v="2628"/>
    <n v="102546"/>
    <n v="5127.3"/>
    <n v="150"/>
    <x v="74"/>
    <s v="Delivered"/>
    <s v="22-05-2098"/>
    <s v="No"/>
    <n v="0"/>
  </r>
  <r>
    <n v="1076"/>
    <x v="75"/>
    <s v="C076"/>
    <s v="Regular"/>
    <x v="3"/>
    <x v="2"/>
    <s v="Shoes"/>
    <s v="P176"/>
    <x v="75"/>
    <s v="Levis"/>
    <n v="5"/>
    <n v="8969"/>
    <n v="1446"/>
    <n v="43399"/>
    <n v="2169.9499999999998"/>
    <n v="500"/>
    <x v="75"/>
    <s v="Returned"/>
    <s v="22-05-2099"/>
    <s v="Yes"/>
    <n v="1"/>
  </r>
  <r>
    <n v="1077"/>
    <x v="76"/>
    <s v="C077"/>
    <s v="Regular"/>
    <x v="0"/>
    <x v="2"/>
    <s v="Shoes"/>
    <s v="P177"/>
    <x v="76"/>
    <s v="OnePlus"/>
    <n v="1"/>
    <n v="33975"/>
    <n v="727"/>
    <n v="33248"/>
    <n v="1662.4"/>
    <n v="100"/>
    <x v="76"/>
    <s v="Delivered"/>
    <s v="22-05-2100"/>
    <s v="No"/>
    <n v="0"/>
  </r>
  <r>
    <n v="1078"/>
    <x v="75"/>
    <s v="C078"/>
    <s v="Regular"/>
    <x v="2"/>
    <x v="0"/>
    <s v="Tablet"/>
    <s v="P178"/>
    <x v="77"/>
    <s v="Apple"/>
    <n v="1"/>
    <n v="68218"/>
    <n v="1921"/>
    <n v="66297"/>
    <n v="3314.85"/>
    <n v="500"/>
    <x v="77"/>
    <s v="Returned"/>
    <s v="22-05-2101"/>
    <s v="Yes"/>
    <n v="1"/>
  </r>
  <r>
    <n v="1079"/>
    <x v="77"/>
    <s v="C079"/>
    <s v="Premium"/>
    <x v="1"/>
    <x v="0"/>
    <s v="Laptop"/>
    <s v="P179"/>
    <x v="78"/>
    <s v="Dell"/>
    <n v="2"/>
    <n v="52798"/>
    <n v="2898"/>
    <n v="102698"/>
    <n v="5134.8999999999996"/>
    <n v="300"/>
    <x v="78"/>
    <s v="Delivered"/>
    <s v="22-05-2102"/>
    <s v="No"/>
    <n v="0"/>
  </r>
  <r>
    <n v="1080"/>
    <x v="78"/>
    <s v="C080"/>
    <s v="Regular"/>
    <x v="2"/>
    <x v="1"/>
    <s v="Chair"/>
    <s v="P180"/>
    <x v="79"/>
    <s v="OnePlus"/>
    <n v="4"/>
    <n v="8623"/>
    <n v="3000"/>
    <n v="31492"/>
    <n v="1574.6"/>
    <n v="200"/>
    <x v="79"/>
    <s v="Returned"/>
    <s v="22-05-2103"/>
    <s v="Yes"/>
    <n v="1"/>
  </r>
  <r>
    <n v="1081"/>
    <x v="79"/>
    <s v="C081"/>
    <s v="Regular"/>
    <x v="2"/>
    <x v="2"/>
    <s v="Jeans"/>
    <s v="P181"/>
    <x v="80"/>
    <s v="Dell"/>
    <n v="1"/>
    <n v="56683"/>
    <n v="1005"/>
    <n v="55678"/>
    <n v="2783.9"/>
    <n v="500"/>
    <x v="80"/>
    <s v="Cancelled"/>
    <s v="22-05-2104"/>
    <s v="No"/>
    <n v="0"/>
  </r>
  <r>
    <n v="1082"/>
    <x v="80"/>
    <s v="C082"/>
    <s v="Regular"/>
    <x v="2"/>
    <x v="2"/>
    <s v="Jeans"/>
    <s v="P182"/>
    <x v="81"/>
    <s v="Levis"/>
    <n v="1"/>
    <n v="18003"/>
    <n v="2672"/>
    <n v="15331"/>
    <n v="766.55"/>
    <n v="300"/>
    <x v="81"/>
    <s v="Cancelled"/>
    <s v="22-05-2105"/>
    <s v="No"/>
    <n v="0"/>
  </r>
  <r>
    <n v="1083"/>
    <x v="81"/>
    <s v="C083"/>
    <s v="Regular"/>
    <x v="1"/>
    <x v="1"/>
    <s v="Table"/>
    <s v="P183"/>
    <x v="82"/>
    <s v="Apple"/>
    <n v="5"/>
    <n v="43496"/>
    <n v="398"/>
    <n v="217082"/>
    <n v="10854.1"/>
    <n v="300"/>
    <x v="82"/>
    <s v="Returned"/>
    <s v="22-05-2106"/>
    <s v="Yes"/>
    <n v="1"/>
  </r>
  <r>
    <n v="1084"/>
    <x v="82"/>
    <s v="C084"/>
    <s v="Regular"/>
    <x v="1"/>
    <x v="1"/>
    <s v="Table"/>
    <s v="P184"/>
    <x v="83"/>
    <s v="Samsung"/>
    <n v="3"/>
    <n v="42785"/>
    <n v="1444"/>
    <n v="126911"/>
    <n v="6345.55"/>
    <n v="200"/>
    <x v="83"/>
    <s v="Returned"/>
    <s v="22-05-2107"/>
    <s v="Yes"/>
    <n v="1"/>
  </r>
  <r>
    <n v="1085"/>
    <x v="83"/>
    <s v="C085"/>
    <s v="Premium"/>
    <x v="3"/>
    <x v="1"/>
    <s v="Sofa"/>
    <s v="P185"/>
    <x v="84"/>
    <s v="OnePlus"/>
    <n v="1"/>
    <n v="60220"/>
    <n v="1145"/>
    <n v="59075"/>
    <n v="2953.75"/>
    <n v="300"/>
    <x v="84"/>
    <s v="Returned"/>
    <s v="22-05-2108"/>
    <s v="Yes"/>
    <n v="1"/>
  </r>
  <r>
    <n v="1086"/>
    <x v="84"/>
    <s v="C086"/>
    <s v="Regular"/>
    <x v="2"/>
    <x v="0"/>
    <s v="Mobile"/>
    <s v="P186"/>
    <x v="85"/>
    <s v="Dell"/>
    <n v="1"/>
    <n v="69643"/>
    <n v="2015"/>
    <n v="67628"/>
    <n v="3381.4"/>
    <n v="500"/>
    <x v="85"/>
    <s v="Returned"/>
    <s v="22-05-2109"/>
    <s v="Yes"/>
    <n v="1"/>
  </r>
  <r>
    <n v="1087"/>
    <x v="85"/>
    <s v="C087"/>
    <s v="Regular"/>
    <x v="0"/>
    <x v="1"/>
    <s v="Table"/>
    <s v="P187"/>
    <x v="86"/>
    <s v="Dell"/>
    <n v="4"/>
    <n v="45623"/>
    <n v="2179"/>
    <n v="180313"/>
    <n v="9015.65"/>
    <n v="500"/>
    <x v="86"/>
    <s v="Delivered"/>
    <s v="22-05-2110"/>
    <s v="No"/>
    <n v="0"/>
  </r>
  <r>
    <n v="1088"/>
    <x v="86"/>
    <s v="C088"/>
    <s v="Regular"/>
    <x v="2"/>
    <x v="2"/>
    <s v="Shirt"/>
    <s v="P188"/>
    <x v="87"/>
    <s v="Levis"/>
    <n v="1"/>
    <n v="25195"/>
    <n v="1683"/>
    <n v="23512"/>
    <n v="1175.5999999999999"/>
    <n v="500"/>
    <x v="87"/>
    <s v="Delivered"/>
    <s v="22-05-2111"/>
    <s v="No"/>
    <n v="0"/>
  </r>
  <r>
    <n v="1089"/>
    <x v="87"/>
    <s v="C089"/>
    <s v="Regular"/>
    <x v="0"/>
    <x v="1"/>
    <s v="Chair"/>
    <s v="P189"/>
    <x v="88"/>
    <s v="Nike"/>
    <n v="5"/>
    <n v="69993"/>
    <n v="2625"/>
    <n v="347340"/>
    <n v="17367"/>
    <n v="100"/>
    <x v="88"/>
    <s v="Delivered"/>
    <s v="22-05-2112"/>
    <s v="No"/>
    <n v="0"/>
  </r>
  <r>
    <n v="1090"/>
    <x v="64"/>
    <s v="C090"/>
    <s v="Premium"/>
    <x v="0"/>
    <x v="2"/>
    <s v="Jeans"/>
    <s v="P190"/>
    <x v="89"/>
    <s v="Ikea"/>
    <n v="4"/>
    <n v="38191"/>
    <n v="900"/>
    <n v="151864"/>
    <n v="7593.2"/>
    <n v="150"/>
    <x v="89"/>
    <s v="Cancelled"/>
    <s v="22-05-2113"/>
    <s v="No"/>
    <n v="0"/>
  </r>
  <r>
    <n v="1091"/>
    <x v="88"/>
    <s v="C091"/>
    <s v="Regular"/>
    <x v="3"/>
    <x v="2"/>
    <s v="Shirt"/>
    <s v="P191"/>
    <x v="90"/>
    <s v="Nike"/>
    <n v="4"/>
    <n v="10528"/>
    <n v="1050"/>
    <n v="41062"/>
    <n v="2053.1"/>
    <n v="300"/>
    <x v="90"/>
    <s v="Delivered"/>
    <s v="22-05-2114"/>
    <s v="No"/>
    <n v="0"/>
  </r>
  <r>
    <n v="1092"/>
    <x v="89"/>
    <s v="C092"/>
    <s v="Regular"/>
    <x v="0"/>
    <x v="1"/>
    <s v="Sofa"/>
    <s v="P192"/>
    <x v="91"/>
    <s v="Dell"/>
    <n v="5"/>
    <n v="56783"/>
    <n v="164"/>
    <n v="283751"/>
    <n v="14187.55"/>
    <n v="200"/>
    <x v="91"/>
    <s v="Returned"/>
    <s v="22-05-2115"/>
    <s v="Yes"/>
    <n v="1"/>
  </r>
  <r>
    <n v="1093"/>
    <x v="90"/>
    <s v="C093"/>
    <s v="Premium"/>
    <x v="3"/>
    <x v="2"/>
    <s v="Shirt"/>
    <s v="P193"/>
    <x v="92"/>
    <s v="Nike"/>
    <n v="3"/>
    <n v="68173"/>
    <n v="1292"/>
    <n v="203227"/>
    <n v="10161.35"/>
    <n v="500"/>
    <x v="92"/>
    <s v="Cancelled"/>
    <s v="22-05-2116"/>
    <s v="No"/>
    <n v="0"/>
  </r>
  <r>
    <n v="1094"/>
    <x v="91"/>
    <s v="C094"/>
    <s v="Premium"/>
    <x v="0"/>
    <x v="2"/>
    <s v="Shoes"/>
    <s v="P194"/>
    <x v="93"/>
    <s v="Nike"/>
    <n v="5"/>
    <n v="41338"/>
    <n v="1853"/>
    <n v="204837"/>
    <n v="10241.85"/>
    <n v="200"/>
    <x v="93"/>
    <s v="Delivered"/>
    <s v="22-05-2117"/>
    <s v="No"/>
    <n v="0"/>
  </r>
  <r>
    <n v="1095"/>
    <x v="92"/>
    <s v="C095"/>
    <s v="Premium"/>
    <x v="1"/>
    <x v="2"/>
    <s v="Shirt"/>
    <s v="P195"/>
    <x v="94"/>
    <s v="Apple"/>
    <n v="4"/>
    <n v="5751"/>
    <n v="1508"/>
    <n v="21496"/>
    <n v="1074.8"/>
    <n v="300"/>
    <x v="94"/>
    <s v="Returned"/>
    <s v="22-05-2118"/>
    <s v="Yes"/>
    <n v="1"/>
  </r>
  <r>
    <n v="1096"/>
    <x v="46"/>
    <s v="C096"/>
    <s v="Premium"/>
    <x v="3"/>
    <x v="1"/>
    <s v="Table"/>
    <s v="P196"/>
    <x v="95"/>
    <s v="OnePlus"/>
    <n v="4"/>
    <n v="36646"/>
    <n v="1526"/>
    <n v="145058"/>
    <n v="7252.9"/>
    <n v="300"/>
    <x v="95"/>
    <s v="Returned"/>
    <s v="22-05-2119"/>
    <s v="Yes"/>
    <n v="1"/>
  </r>
  <r>
    <n v="1097"/>
    <x v="93"/>
    <s v="C097"/>
    <s v="Premium"/>
    <x v="0"/>
    <x v="1"/>
    <s v="Chair"/>
    <s v="P197"/>
    <x v="96"/>
    <s v="Nike"/>
    <n v="4"/>
    <n v="20432"/>
    <n v="74"/>
    <n v="81654"/>
    <n v="4082.7"/>
    <n v="150"/>
    <x v="96"/>
    <s v="Returned"/>
    <s v="22-05-2120"/>
    <s v="Yes"/>
    <n v="1"/>
  </r>
  <r>
    <n v="1098"/>
    <x v="94"/>
    <s v="C098"/>
    <s v="Premium"/>
    <x v="3"/>
    <x v="1"/>
    <s v="Sofa"/>
    <s v="P198"/>
    <x v="97"/>
    <s v="Samsung"/>
    <n v="3"/>
    <n v="56149"/>
    <n v="2831"/>
    <n v="165616"/>
    <n v="8280.7999999999993"/>
    <n v="200"/>
    <x v="97"/>
    <s v="Returned"/>
    <s v="22-05-2121"/>
    <s v="Yes"/>
    <n v="1"/>
  </r>
  <r>
    <n v="1099"/>
    <x v="95"/>
    <s v="C099"/>
    <s v="Regular"/>
    <x v="1"/>
    <x v="2"/>
    <s v="Jeans"/>
    <s v="P199"/>
    <x v="98"/>
    <s v="Apple"/>
    <n v="1"/>
    <n v="9446"/>
    <n v="530"/>
    <n v="8916"/>
    <n v="445.8"/>
    <n v="150"/>
    <x v="98"/>
    <s v="Delivered"/>
    <s v="22-05-2122"/>
    <s v="No"/>
    <n v="0"/>
  </r>
  <r>
    <n v="1100"/>
    <x v="96"/>
    <s v="C100"/>
    <s v="Regular"/>
    <x v="0"/>
    <x v="1"/>
    <s v="Chair"/>
    <s v="P200"/>
    <x v="99"/>
    <s v="Nike"/>
    <n v="4"/>
    <n v="25567"/>
    <n v="12"/>
    <n v="102256"/>
    <n v="5112.8"/>
    <n v="100"/>
    <x v="99"/>
    <s v="Returned"/>
    <s v="22-05-2123"/>
    <s v="Yes"/>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6C8603-F6BE-42CF-BEEC-EEAA2BE5287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G4" firstHeaderRow="1" firstDataRow="1" firstDataCol="0"/>
  <pivotFields count="24">
    <pivotField showAll="0"/>
    <pivotField numFmtId="14" showAll="0">
      <items count="98">
        <item x="2"/>
        <item x="41"/>
        <item x="18"/>
        <item x="34"/>
        <item x="37"/>
        <item x="46"/>
        <item x="36"/>
        <item x="61"/>
        <item x="12"/>
        <item x="47"/>
        <item x="82"/>
        <item x="43"/>
        <item x="84"/>
        <item x="56"/>
        <item x="51"/>
        <item x="87"/>
        <item x="27"/>
        <item x="13"/>
        <item x="93"/>
        <item x="73"/>
        <item x="72"/>
        <item x="0"/>
        <item x="53"/>
        <item x="92"/>
        <item x="69"/>
        <item x="6"/>
        <item x="32"/>
        <item x="8"/>
        <item x="50"/>
        <item x="68"/>
        <item x="77"/>
        <item x="81"/>
        <item x="19"/>
        <item x="96"/>
        <item x="63"/>
        <item x="45"/>
        <item x="57"/>
        <item x="33"/>
        <item x="94"/>
        <item x="30"/>
        <item x="23"/>
        <item x="83"/>
        <item x="78"/>
        <item x="76"/>
        <item x="24"/>
        <item x="20"/>
        <item x="40"/>
        <item x="54"/>
        <item x="79"/>
        <item x="35"/>
        <item x="71"/>
        <item x="25"/>
        <item x="74"/>
        <item x="60"/>
        <item x="67"/>
        <item x="75"/>
        <item x="22"/>
        <item x="48"/>
        <item x="64"/>
        <item x="3"/>
        <item x="49"/>
        <item x="86"/>
        <item x="80"/>
        <item x="11"/>
        <item x="89"/>
        <item x="1"/>
        <item x="7"/>
        <item x="95"/>
        <item x="42"/>
        <item x="21"/>
        <item x="59"/>
        <item x="55"/>
        <item x="91"/>
        <item x="65"/>
        <item x="15"/>
        <item x="10"/>
        <item x="31"/>
        <item x="9"/>
        <item x="26"/>
        <item x="4"/>
        <item x="88"/>
        <item x="28"/>
        <item x="5"/>
        <item x="70"/>
        <item x="39"/>
        <item x="29"/>
        <item x="16"/>
        <item x="85"/>
        <item x="52"/>
        <item x="62"/>
        <item x="58"/>
        <item x="38"/>
        <item x="66"/>
        <item x="17"/>
        <item x="90"/>
        <item x="44"/>
        <item x="14"/>
        <item t="default"/>
      </items>
    </pivotField>
    <pivotField showAll="0"/>
    <pivotField showAll="0"/>
    <pivotField showAll="0">
      <items count="5">
        <item x="2"/>
        <item x="3"/>
        <item x="1"/>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Return Rate" fld="20" subtotal="average" baseField="0" baseItem="0" numFmtId="9"/>
  </dataFields>
  <formats count="11">
    <format dxfId="383">
      <pivotArea outline="0" collapsedLevelsAreSubtotals="1" fieldPosition="0"/>
    </format>
    <format dxfId="382">
      <pivotArea type="all" dataOnly="0" outline="0" fieldPosition="0"/>
    </format>
    <format dxfId="381">
      <pivotArea outline="0" collapsedLevelsAreSubtotals="1" fieldPosition="0"/>
    </format>
    <format dxfId="380">
      <pivotArea dataOnly="0" labelOnly="1" outline="0" axis="axisValues" fieldPosition="0"/>
    </format>
    <format dxfId="379">
      <pivotArea outline="0" collapsedLevelsAreSubtotals="1" fieldPosition="0"/>
    </format>
    <format dxfId="378">
      <pivotArea type="all" dataOnly="0" outline="0" fieldPosition="0"/>
    </format>
    <format dxfId="377">
      <pivotArea outline="0" collapsedLevelsAreSubtotals="1" fieldPosition="0"/>
    </format>
    <format dxfId="376">
      <pivotArea dataOnly="0" labelOnly="1" outline="0" axis="axisValues" fieldPosition="0"/>
    </format>
    <format dxfId="375">
      <pivotArea type="all" dataOnly="0" outline="0" fieldPosition="0"/>
    </format>
    <format dxfId="374">
      <pivotArea outline="0" collapsedLevelsAreSubtotals="1" fieldPosition="0"/>
    </format>
    <format dxfId="3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627D01-4CFB-489A-90B4-904D384A1498}"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A4" firstHeaderRow="1" firstDataRow="1" firstDataCol="0"/>
  <pivotFields count="24">
    <pivotField showAll="0"/>
    <pivotField numFmtId="14" showAll="0">
      <items count="98">
        <item x="2"/>
        <item x="41"/>
        <item x="18"/>
        <item x="34"/>
        <item x="37"/>
        <item x="46"/>
        <item x="36"/>
        <item x="61"/>
        <item x="12"/>
        <item x="47"/>
        <item x="82"/>
        <item x="43"/>
        <item x="84"/>
        <item x="56"/>
        <item x="51"/>
        <item x="87"/>
        <item x="27"/>
        <item x="13"/>
        <item x="93"/>
        <item x="73"/>
        <item x="72"/>
        <item x="0"/>
        <item x="53"/>
        <item x="92"/>
        <item x="69"/>
        <item x="6"/>
        <item x="32"/>
        <item x="8"/>
        <item x="50"/>
        <item x="68"/>
        <item x="77"/>
        <item x="81"/>
        <item x="19"/>
        <item x="96"/>
        <item x="63"/>
        <item x="45"/>
        <item x="57"/>
        <item x="33"/>
        <item x="94"/>
        <item x="30"/>
        <item x="23"/>
        <item x="83"/>
        <item x="78"/>
        <item x="76"/>
        <item x="24"/>
        <item x="20"/>
        <item x="40"/>
        <item x="54"/>
        <item x="79"/>
        <item x="35"/>
        <item x="71"/>
        <item x="25"/>
        <item x="74"/>
        <item x="60"/>
        <item x="67"/>
        <item x="75"/>
        <item x="22"/>
        <item x="48"/>
        <item x="64"/>
        <item x="3"/>
        <item x="49"/>
        <item x="86"/>
        <item x="80"/>
        <item x="11"/>
        <item x="89"/>
        <item x="1"/>
        <item x="7"/>
        <item x="95"/>
        <item x="42"/>
        <item x="21"/>
        <item x="59"/>
        <item x="55"/>
        <item x="91"/>
        <item x="65"/>
        <item x="15"/>
        <item x="10"/>
        <item x="31"/>
        <item x="9"/>
        <item x="26"/>
        <item x="4"/>
        <item x="88"/>
        <item x="28"/>
        <item x="5"/>
        <item x="70"/>
        <item x="39"/>
        <item x="29"/>
        <item x="16"/>
        <item x="85"/>
        <item x="52"/>
        <item x="62"/>
        <item x="58"/>
        <item x="38"/>
        <item x="66"/>
        <item x="17"/>
        <item x="90"/>
        <item x="44"/>
        <item x="14"/>
        <item t="default"/>
      </items>
    </pivotField>
    <pivotField showAll="0"/>
    <pivotField showAll="0"/>
    <pivotField showAll="0">
      <items count="5">
        <item x="2"/>
        <item x="3"/>
        <item x="1"/>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Revenue" fld="16" baseField="0" baseItem="0"/>
  </dataFields>
  <formats count="9">
    <format dxfId="392">
      <pivotArea type="all" dataOnly="0" outline="0" fieldPosition="0"/>
    </format>
    <format dxfId="391">
      <pivotArea outline="0" collapsedLevelsAreSubtotals="1" fieldPosition="0"/>
    </format>
    <format dxfId="390">
      <pivotArea dataOnly="0" labelOnly="1" outline="0" axis="axisValues" fieldPosition="0"/>
    </format>
    <format dxfId="389">
      <pivotArea type="all" dataOnly="0" outline="0" fieldPosition="0"/>
    </format>
    <format dxfId="388">
      <pivotArea outline="0" collapsedLevelsAreSubtotals="1" fieldPosition="0"/>
    </format>
    <format dxfId="387">
      <pivotArea dataOnly="0" labelOnly="1" outline="0" axis="axisValues" fieldPosition="0"/>
    </format>
    <format dxfId="386">
      <pivotArea type="all" dataOnly="0" outline="0" fieldPosition="0"/>
    </format>
    <format dxfId="385">
      <pivotArea outline="0" collapsedLevelsAreSubtotals="1" fieldPosition="0"/>
    </format>
    <format dxfId="3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C6E9E2-1BC9-45F1-BABF-8F16EB6E08D1}"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K9:L14" firstHeaderRow="1" firstDataRow="1" firstDataCol="1"/>
  <pivotFields count="24">
    <pivotField showAll="0"/>
    <pivotField numFmtId="14" showAll="0">
      <items count="98">
        <item x="2"/>
        <item x="41"/>
        <item x="18"/>
        <item x="34"/>
        <item x="37"/>
        <item x="46"/>
        <item x="36"/>
        <item x="61"/>
        <item x="12"/>
        <item x="47"/>
        <item x="82"/>
        <item x="43"/>
        <item x="84"/>
        <item x="56"/>
        <item x="51"/>
        <item x="87"/>
        <item x="27"/>
        <item x="13"/>
        <item x="93"/>
        <item x="73"/>
        <item x="72"/>
        <item x="0"/>
        <item x="53"/>
        <item x="92"/>
        <item x="69"/>
        <item x="6"/>
        <item x="32"/>
        <item x="8"/>
        <item x="50"/>
        <item x="68"/>
        <item x="77"/>
        <item x="81"/>
        <item x="19"/>
        <item x="96"/>
        <item x="63"/>
        <item x="45"/>
        <item x="57"/>
        <item x="33"/>
        <item x="94"/>
        <item x="30"/>
        <item x="23"/>
        <item x="83"/>
        <item x="78"/>
        <item x="76"/>
        <item x="24"/>
        <item x="20"/>
        <item x="40"/>
        <item x="54"/>
        <item x="79"/>
        <item x="35"/>
        <item x="71"/>
        <item x="25"/>
        <item x="74"/>
        <item x="60"/>
        <item x="67"/>
        <item x="75"/>
        <item x="22"/>
        <item x="48"/>
        <item x="64"/>
        <item x="3"/>
        <item x="49"/>
        <item x="86"/>
        <item x="80"/>
        <item x="11"/>
        <item x="89"/>
        <item x="1"/>
        <item x="7"/>
        <item x="95"/>
        <item x="42"/>
        <item x="21"/>
        <item x="59"/>
        <item x="55"/>
        <item x="91"/>
        <item x="65"/>
        <item x="15"/>
        <item x="10"/>
        <item x="31"/>
        <item x="9"/>
        <item x="26"/>
        <item x="4"/>
        <item x="88"/>
        <item x="28"/>
        <item x="5"/>
        <item x="70"/>
        <item x="39"/>
        <item x="29"/>
        <item x="16"/>
        <item x="85"/>
        <item x="52"/>
        <item x="62"/>
        <item x="58"/>
        <item x="38"/>
        <item x="66"/>
        <item x="17"/>
        <item x="90"/>
        <item x="44"/>
        <item x="14"/>
        <item t="default"/>
      </items>
    </pivotField>
    <pivotField showAll="0"/>
    <pivotField showAll="0"/>
    <pivotField axis="axisRow" showAll="0">
      <items count="5">
        <item x="2"/>
        <item x="3"/>
        <item x="1"/>
        <item x="0"/>
        <item t="default"/>
      </items>
    </pivotField>
    <pivotField showAll="0">
      <items count="4">
        <item x="2"/>
        <item x="0"/>
        <item x="1"/>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dataField="1" numFmtId="2"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Sum of Total" fld="16" baseField="0" baseItem="0" numFmtId="2"/>
  </dataFields>
  <formats count="12">
    <format dxfId="404">
      <pivotArea collapsedLevelsAreSubtotals="1" fieldPosition="0">
        <references count="1">
          <reference field="4" count="0"/>
        </references>
      </pivotArea>
    </format>
    <format dxfId="403">
      <pivotArea field="4" type="button" dataOnly="0" labelOnly="1" outline="0" axis="axisRow" fieldPosition="0"/>
    </format>
    <format dxfId="402">
      <pivotArea dataOnly="0" labelOnly="1" fieldPosition="0">
        <references count="1">
          <reference field="4" count="0"/>
        </references>
      </pivotArea>
    </format>
    <format dxfId="401">
      <pivotArea dataOnly="0" labelOnly="1" outline="0" axis="axisValues" fieldPosition="0"/>
    </format>
    <format dxfId="400">
      <pivotArea collapsedLevelsAreSubtotals="1" fieldPosition="0">
        <references count="1">
          <reference field="4" count="0"/>
        </references>
      </pivotArea>
    </format>
    <format dxfId="399">
      <pivotArea field="4" type="button" dataOnly="0" labelOnly="1" outline="0" axis="axisRow" fieldPosition="0"/>
    </format>
    <format dxfId="398">
      <pivotArea dataOnly="0" labelOnly="1" fieldPosition="0">
        <references count="1">
          <reference field="4" count="0"/>
        </references>
      </pivotArea>
    </format>
    <format dxfId="397">
      <pivotArea dataOnly="0" labelOnly="1" outline="0" axis="axisValues" fieldPosition="0"/>
    </format>
    <format dxfId="396">
      <pivotArea collapsedLevelsAreSubtotals="1" fieldPosition="0">
        <references count="1">
          <reference field="4" count="0"/>
        </references>
      </pivotArea>
    </format>
    <format dxfId="395">
      <pivotArea field="4" type="button" dataOnly="0" labelOnly="1" outline="0" axis="axisRow" fieldPosition="0"/>
    </format>
    <format dxfId="394">
      <pivotArea dataOnly="0" labelOnly="1" fieldPosition="0">
        <references count="1">
          <reference field="4" count="0"/>
        </references>
      </pivotArea>
    </format>
    <format dxfId="393">
      <pivotArea dataOnly="0" labelOnly="1" outline="0" axis="axisValues" fieldPosition="0"/>
    </format>
  </formats>
  <chartFormats count="4">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4" count="1" selected="0">
            <x v="0"/>
          </reference>
        </references>
      </pivotArea>
    </chartFormat>
    <chartFormat chart="10" format="14">
      <pivotArea type="data" outline="0" fieldPosition="0">
        <references count="2">
          <reference field="4294967294" count="1" selected="0">
            <x v="0"/>
          </reference>
          <reference field="4" count="1" selected="0">
            <x v="1"/>
          </reference>
        </references>
      </pivotArea>
    </chartFormat>
    <chartFormat chart="10"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96BBC9-8EBF-4DA4-B13B-2E35FBDD4128}"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9:I15" firstHeaderRow="1" firstDataRow="1" firstDataCol="1"/>
  <pivotFields count="24">
    <pivotField showAll="0"/>
    <pivotField numFmtId="14" showAll="0">
      <items count="98">
        <item x="2"/>
        <item x="41"/>
        <item x="18"/>
        <item x="34"/>
        <item x="37"/>
        <item x="46"/>
        <item x="36"/>
        <item x="61"/>
        <item x="12"/>
        <item x="47"/>
        <item x="82"/>
        <item x="43"/>
        <item x="84"/>
        <item x="56"/>
        <item x="51"/>
        <item x="87"/>
        <item x="27"/>
        <item x="13"/>
        <item x="93"/>
        <item x="73"/>
        <item x="72"/>
        <item x="0"/>
        <item x="53"/>
        <item x="92"/>
        <item x="69"/>
        <item x="6"/>
        <item x="32"/>
        <item x="8"/>
        <item x="50"/>
        <item x="68"/>
        <item x="77"/>
        <item x="81"/>
        <item x="19"/>
        <item x="96"/>
        <item x="63"/>
        <item x="45"/>
        <item x="57"/>
        <item x="33"/>
        <item x="94"/>
        <item x="30"/>
        <item x="23"/>
        <item x="83"/>
        <item x="78"/>
        <item x="76"/>
        <item x="24"/>
        <item x="20"/>
        <item x="40"/>
        <item x="54"/>
        <item x="79"/>
        <item x="35"/>
        <item x="71"/>
        <item x="25"/>
        <item x="74"/>
        <item x="60"/>
        <item x="67"/>
        <item x="75"/>
        <item x="22"/>
        <item x="48"/>
        <item x="64"/>
        <item x="3"/>
        <item x="49"/>
        <item x="86"/>
        <item x="80"/>
        <item x="11"/>
        <item x="89"/>
        <item x="1"/>
        <item x="7"/>
        <item x="95"/>
        <item x="42"/>
        <item x="21"/>
        <item x="59"/>
        <item x="55"/>
        <item x="91"/>
        <item x="65"/>
        <item x="15"/>
        <item x="10"/>
        <item x="31"/>
        <item x="9"/>
        <item x="26"/>
        <item x="4"/>
        <item x="88"/>
        <item x="28"/>
        <item x="5"/>
        <item x="70"/>
        <item x="39"/>
        <item x="29"/>
        <item x="16"/>
        <item x="85"/>
        <item x="52"/>
        <item x="62"/>
        <item x="58"/>
        <item x="38"/>
        <item x="66"/>
        <item x="17"/>
        <item x="90"/>
        <item x="44"/>
        <item x="14"/>
        <item t="default"/>
      </items>
    </pivotField>
    <pivotField showAll="0"/>
    <pivotField showAll="0"/>
    <pivotField showAll="0">
      <items count="5">
        <item x="2"/>
        <item x="3"/>
        <item x="1"/>
        <item x="0"/>
        <item t="default"/>
      </items>
    </pivotField>
    <pivotField showAll="0">
      <items count="4">
        <item x="2"/>
        <item x="0"/>
        <item x="1"/>
        <item t="default"/>
      </items>
    </pivotField>
    <pivotField showAll="0"/>
    <pivotField showAll="0"/>
    <pivotField axis="axisRow" showAll="0" measureFilter="1" sortType="descending">
      <items count="101">
        <item x="99"/>
        <item x="12"/>
        <item x="15"/>
        <item x="17"/>
        <item x="24"/>
        <item x="25"/>
        <item x="27"/>
        <item x="32"/>
        <item x="33"/>
        <item x="34"/>
        <item x="35"/>
        <item x="38"/>
        <item x="41"/>
        <item x="64"/>
        <item x="7"/>
        <item x="79"/>
        <item x="88"/>
        <item x="96"/>
        <item x="29"/>
        <item x="43"/>
        <item x="48"/>
        <item x="51"/>
        <item x="53"/>
        <item x="56"/>
        <item x="5"/>
        <item x="80"/>
        <item x="81"/>
        <item x="89"/>
        <item x="98"/>
        <item x="0"/>
        <item x="13"/>
        <item x="31"/>
        <item x="39"/>
        <item x="69"/>
        <item x="78"/>
        <item x="18"/>
        <item x="23"/>
        <item x="28"/>
        <item x="49"/>
        <item x="65"/>
        <item x="66"/>
        <item x="70"/>
        <item x="73"/>
        <item x="85"/>
        <item x="9"/>
        <item x="26"/>
        <item x="3"/>
        <item x="44"/>
        <item x="45"/>
        <item x="46"/>
        <item x="57"/>
        <item x="60"/>
        <item x="71"/>
        <item x="87"/>
        <item x="8"/>
        <item x="90"/>
        <item x="92"/>
        <item x="94"/>
        <item x="10"/>
        <item x="11"/>
        <item x="30"/>
        <item x="37"/>
        <item x="55"/>
        <item x="68"/>
        <item x="6"/>
        <item x="75"/>
        <item x="76"/>
        <item x="93"/>
        <item x="14"/>
        <item x="21"/>
        <item x="22"/>
        <item x="50"/>
        <item x="59"/>
        <item x="63"/>
        <item x="72"/>
        <item x="74"/>
        <item x="84"/>
        <item x="91"/>
        <item x="97"/>
        <item x="1"/>
        <item x="36"/>
        <item x="47"/>
        <item x="58"/>
        <item x="62"/>
        <item x="82"/>
        <item x="83"/>
        <item x="86"/>
        <item x="95"/>
        <item x="16"/>
        <item x="19"/>
        <item x="20"/>
        <item x="2"/>
        <item x="40"/>
        <item x="42"/>
        <item x="4"/>
        <item x="52"/>
        <item x="54"/>
        <item x="61"/>
        <item x="67"/>
        <item x="77"/>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2" showAll="0"/>
    <pivotField numFmtId="2" showAll="0"/>
    <pivotField numFmtId="2" showAll="0"/>
    <pivotField numFmtId="2" showAll="0"/>
    <pivotField dataField="1" numFmtId="2"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8"/>
  </rowFields>
  <rowItems count="6">
    <i>
      <x v="16"/>
    </i>
    <i>
      <x v="4"/>
    </i>
    <i>
      <x v="77"/>
    </i>
    <i>
      <x v="44"/>
    </i>
    <i>
      <x v="54"/>
    </i>
    <i t="grand">
      <x/>
    </i>
  </rowItems>
  <colItems count="1">
    <i/>
  </colItems>
  <dataFields count="1">
    <dataField name="Sum of Total" fld="16" baseField="0" baseItem="0" numFmtId="2"/>
  </dataFields>
  <formats count="18">
    <format dxfId="422">
      <pivotArea type="all" dataOnly="0" outline="0" fieldPosition="0"/>
    </format>
    <format dxfId="421">
      <pivotArea outline="0" collapsedLevelsAreSubtotals="1" fieldPosition="0"/>
    </format>
    <format dxfId="420">
      <pivotArea field="8" type="button" dataOnly="0" labelOnly="1" outline="0" axis="axisRow" fieldPosition="0"/>
    </format>
    <format dxfId="419">
      <pivotArea dataOnly="0" labelOnly="1" fieldPosition="0">
        <references count="1">
          <reference field="8" count="5">
            <x v="4"/>
            <x v="16"/>
            <x v="44"/>
            <x v="54"/>
            <x v="77"/>
          </reference>
        </references>
      </pivotArea>
    </format>
    <format dxfId="418">
      <pivotArea dataOnly="0" labelOnly="1" grandRow="1" outline="0" fieldPosition="0"/>
    </format>
    <format dxfId="417">
      <pivotArea dataOnly="0" labelOnly="1" outline="0" axis="axisValues" fieldPosition="0"/>
    </format>
    <format dxfId="416">
      <pivotArea type="all" dataOnly="0" outline="0" fieldPosition="0"/>
    </format>
    <format dxfId="415">
      <pivotArea outline="0" collapsedLevelsAreSubtotals="1" fieldPosition="0"/>
    </format>
    <format dxfId="414">
      <pivotArea field="8" type="button" dataOnly="0" labelOnly="1" outline="0" axis="axisRow" fieldPosition="0"/>
    </format>
    <format dxfId="413">
      <pivotArea dataOnly="0" labelOnly="1" fieldPosition="0">
        <references count="1">
          <reference field="8" count="5">
            <x v="4"/>
            <x v="16"/>
            <x v="44"/>
            <x v="54"/>
            <x v="77"/>
          </reference>
        </references>
      </pivotArea>
    </format>
    <format dxfId="412">
      <pivotArea dataOnly="0" labelOnly="1" grandRow="1" outline="0" fieldPosition="0"/>
    </format>
    <format dxfId="411">
      <pivotArea dataOnly="0" labelOnly="1" outline="0" axis="axisValues" fieldPosition="0"/>
    </format>
    <format dxfId="410">
      <pivotArea type="all" dataOnly="0" outline="0" fieldPosition="0"/>
    </format>
    <format dxfId="409">
      <pivotArea outline="0" collapsedLevelsAreSubtotals="1" fieldPosition="0"/>
    </format>
    <format dxfId="408">
      <pivotArea field="8" type="button" dataOnly="0" labelOnly="1" outline="0" axis="axisRow" fieldPosition="0"/>
    </format>
    <format dxfId="407">
      <pivotArea dataOnly="0" labelOnly="1" fieldPosition="0">
        <references count="1">
          <reference field="8" count="5">
            <x v="4"/>
            <x v="16"/>
            <x v="44"/>
            <x v="54"/>
            <x v="77"/>
          </reference>
        </references>
      </pivotArea>
    </format>
    <format dxfId="406">
      <pivotArea dataOnly="0" labelOnly="1" grandRow="1" outline="0" fieldPosition="0"/>
    </format>
    <format dxfId="405">
      <pivotArea dataOnly="0" labelOnly="1" outline="0" axis="axisValues"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2547F8-03BF-4304-8FED-8CECCD003E1A}" name="PivotTable4"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3:E4" firstHeaderRow="1" firstDataRow="1" firstDataCol="0"/>
  <pivotFields count="24">
    <pivotField showAll="0"/>
    <pivotField numFmtId="14" showAll="0">
      <items count="98">
        <item x="2"/>
        <item x="41"/>
        <item x="18"/>
        <item x="34"/>
        <item x="37"/>
        <item x="46"/>
        <item x="36"/>
        <item x="61"/>
        <item x="12"/>
        <item x="47"/>
        <item x="82"/>
        <item x="43"/>
        <item x="84"/>
        <item x="56"/>
        <item x="51"/>
        <item x="87"/>
        <item x="27"/>
        <item x="13"/>
        <item x="93"/>
        <item x="73"/>
        <item x="72"/>
        <item x="0"/>
        <item x="53"/>
        <item x="92"/>
        <item x="69"/>
        <item x="6"/>
        <item x="32"/>
        <item x="8"/>
        <item x="50"/>
        <item x="68"/>
        <item x="77"/>
        <item x="81"/>
        <item x="19"/>
        <item x="96"/>
        <item x="63"/>
        <item x="45"/>
        <item x="57"/>
        <item x="33"/>
        <item x="94"/>
        <item x="30"/>
        <item x="23"/>
        <item x="83"/>
        <item x="78"/>
        <item x="76"/>
        <item x="24"/>
        <item x="20"/>
        <item x="40"/>
        <item x="54"/>
        <item x="79"/>
        <item x="35"/>
        <item x="71"/>
        <item x="25"/>
        <item x="74"/>
        <item x="60"/>
        <item x="67"/>
        <item x="75"/>
        <item x="22"/>
        <item x="48"/>
        <item x="64"/>
        <item x="3"/>
        <item x="49"/>
        <item x="86"/>
        <item x="80"/>
        <item x="11"/>
        <item x="89"/>
        <item x="1"/>
        <item x="7"/>
        <item x="95"/>
        <item x="42"/>
        <item x="21"/>
        <item x="59"/>
        <item x="55"/>
        <item x="91"/>
        <item x="65"/>
        <item x="15"/>
        <item x="10"/>
        <item x="31"/>
        <item x="9"/>
        <item x="26"/>
        <item x="4"/>
        <item x="88"/>
        <item x="28"/>
        <item x="5"/>
        <item x="70"/>
        <item x="39"/>
        <item x="29"/>
        <item x="16"/>
        <item x="85"/>
        <item x="52"/>
        <item x="62"/>
        <item x="58"/>
        <item x="38"/>
        <item x="66"/>
        <item x="17"/>
        <item x="90"/>
        <item x="44"/>
        <item x="14"/>
        <item t="default"/>
      </items>
    </pivotField>
    <pivotField showAll="0"/>
    <pivotField showAll="0"/>
    <pivotField showAll="0">
      <items count="5">
        <item x="2"/>
        <item x="3"/>
        <item x="1"/>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rder Value" fld="16" subtotal="average" baseField="0" baseItem="0"/>
  </dataFields>
  <formats count="14">
    <format dxfId="436">
      <pivotArea type="all" dataOnly="0" outline="0" fieldPosition="0"/>
    </format>
    <format dxfId="435">
      <pivotArea outline="0" collapsedLevelsAreSubtotals="1" fieldPosition="0"/>
    </format>
    <format dxfId="434">
      <pivotArea dataOnly="0" labelOnly="1" outline="0" axis="axisValues" fieldPosition="0"/>
    </format>
    <format dxfId="433">
      <pivotArea dataOnly="0" labelOnly="1" outline="0" axis="axisValues" fieldPosition="0"/>
    </format>
    <format dxfId="432">
      <pivotArea dataOnly="0" labelOnly="1" outline="0" axis="axisValues" fieldPosition="0"/>
    </format>
    <format dxfId="431">
      <pivotArea type="all" dataOnly="0" outline="0" fieldPosition="0"/>
    </format>
    <format dxfId="430">
      <pivotArea outline="0" collapsedLevelsAreSubtotals="1" fieldPosition="0"/>
    </format>
    <format dxfId="429">
      <pivotArea dataOnly="0" labelOnly="1" outline="0" axis="axisValues" fieldPosition="0"/>
    </format>
    <format dxfId="428">
      <pivotArea type="all" dataOnly="0" outline="0" fieldPosition="0"/>
    </format>
    <format dxfId="427">
      <pivotArea outline="0" collapsedLevelsAreSubtotals="1" fieldPosition="0"/>
    </format>
    <format dxfId="426">
      <pivotArea dataOnly="0" labelOnly="1" outline="0" axis="axisValues" fieldPosition="0"/>
    </format>
    <format dxfId="425">
      <pivotArea type="all" dataOnly="0" outline="0" fieldPosition="0"/>
    </format>
    <format dxfId="424">
      <pivotArea outline="0" collapsedLevelsAreSubtotals="1" fieldPosition="0"/>
    </format>
    <format dxfId="4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248271-4B01-4EB1-BC67-0B1219B08FE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E9:F13" firstHeaderRow="1" firstDataRow="1" firstDataCol="1"/>
  <pivotFields count="24">
    <pivotField showAll="0"/>
    <pivotField numFmtId="14" showAll="0">
      <items count="98">
        <item x="2"/>
        <item x="41"/>
        <item x="18"/>
        <item x="34"/>
        <item x="37"/>
        <item x="46"/>
        <item x="36"/>
        <item x="61"/>
        <item x="12"/>
        <item x="47"/>
        <item x="82"/>
        <item x="43"/>
        <item x="84"/>
        <item x="56"/>
        <item x="51"/>
        <item x="87"/>
        <item x="27"/>
        <item x="13"/>
        <item x="93"/>
        <item x="73"/>
        <item x="72"/>
        <item x="0"/>
        <item x="53"/>
        <item x="92"/>
        <item x="69"/>
        <item x="6"/>
        <item x="32"/>
        <item x="8"/>
        <item x="50"/>
        <item x="68"/>
        <item x="77"/>
        <item x="81"/>
        <item x="19"/>
        <item x="96"/>
        <item x="63"/>
        <item x="45"/>
        <item x="57"/>
        <item x="33"/>
        <item x="94"/>
        <item x="30"/>
        <item x="23"/>
        <item x="83"/>
        <item x="78"/>
        <item x="76"/>
        <item x="24"/>
        <item x="20"/>
        <item x="40"/>
        <item x="54"/>
        <item x="79"/>
        <item x="35"/>
        <item x="71"/>
        <item x="25"/>
        <item x="74"/>
        <item x="60"/>
        <item x="67"/>
        <item x="75"/>
        <item x="22"/>
        <item x="48"/>
        <item x="64"/>
        <item x="3"/>
        <item x="49"/>
        <item x="86"/>
        <item x="80"/>
        <item x="11"/>
        <item x="89"/>
        <item x="1"/>
        <item x="7"/>
        <item x="95"/>
        <item x="42"/>
        <item x="21"/>
        <item x="59"/>
        <item x="55"/>
        <item x="91"/>
        <item x="65"/>
        <item x="15"/>
        <item x="10"/>
        <item x="31"/>
        <item x="9"/>
        <item x="26"/>
        <item x="4"/>
        <item x="88"/>
        <item x="28"/>
        <item x="5"/>
        <item x="70"/>
        <item x="39"/>
        <item x="29"/>
        <item x="16"/>
        <item x="85"/>
        <item x="52"/>
        <item x="62"/>
        <item x="58"/>
        <item x="38"/>
        <item x="66"/>
        <item x="17"/>
        <item x="90"/>
        <item x="44"/>
        <item x="14"/>
        <item t="default"/>
      </items>
    </pivotField>
    <pivotField showAll="0"/>
    <pivotField showAll="0"/>
    <pivotField showAll="0">
      <items count="5">
        <item x="2"/>
        <item x="3"/>
        <item x="1"/>
        <item x="0"/>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5"/>
  </rowFields>
  <rowItems count="4">
    <i>
      <x/>
    </i>
    <i>
      <x v="1"/>
    </i>
    <i>
      <x v="2"/>
    </i>
    <i t="grand">
      <x/>
    </i>
  </rowItems>
  <colItems count="1">
    <i/>
  </colItems>
  <dataFields count="1">
    <dataField name="Sum of Total" fld="16" baseField="0" baseItem="0"/>
  </dataFields>
  <formats count="18">
    <format dxfId="454">
      <pivotArea type="all" dataOnly="0" outline="0" fieldPosition="0"/>
    </format>
    <format dxfId="453">
      <pivotArea outline="0" collapsedLevelsAreSubtotals="1" fieldPosition="0"/>
    </format>
    <format dxfId="452">
      <pivotArea field="5" type="button" dataOnly="0" labelOnly="1" outline="0" axis="axisRow" fieldPosition="0"/>
    </format>
    <format dxfId="451">
      <pivotArea dataOnly="0" labelOnly="1" fieldPosition="0">
        <references count="1">
          <reference field="5" count="0"/>
        </references>
      </pivotArea>
    </format>
    <format dxfId="450">
      <pivotArea dataOnly="0" labelOnly="1" grandRow="1" outline="0" fieldPosition="0"/>
    </format>
    <format dxfId="449">
      <pivotArea dataOnly="0" labelOnly="1" outline="0" axis="axisValues" fieldPosition="0"/>
    </format>
    <format dxfId="448">
      <pivotArea type="all" dataOnly="0" outline="0" fieldPosition="0"/>
    </format>
    <format dxfId="447">
      <pivotArea outline="0" collapsedLevelsAreSubtotals="1" fieldPosition="0"/>
    </format>
    <format dxfId="446">
      <pivotArea field="5" type="button" dataOnly="0" labelOnly="1" outline="0" axis="axisRow" fieldPosition="0"/>
    </format>
    <format dxfId="445">
      <pivotArea dataOnly="0" labelOnly="1" fieldPosition="0">
        <references count="1">
          <reference field="5" count="0"/>
        </references>
      </pivotArea>
    </format>
    <format dxfId="444">
      <pivotArea dataOnly="0" labelOnly="1" grandRow="1" outline="0" fieldPosition="0"/>
    </format>
    <format dxfId="443">
      <pivotArea dataOnly="0" labelOnly="1" outline="0" axis="axisValues" fieldPosition="0"/>
    </format>
    <format dxfId="442">
      <pivotArea type="all" dataOnly="0" outline="0" fieldPosition="0"/>
    </format>
    <format dxfId="441">
      <pivotArea outline="0" collapsedLevelsAreSubtotals="1" fieldPosition="0"/>
    </format>
    <format dxfId="440">
      <pivotArea field="5" type="button" dataOnly="0" labelOnly="1" outline="0" axis="axisRow" fieldPosition="0"/>
    </format>
    <format dxfId="439">
      <pivotArea dataOnly="0" labelOnly="1" fieldPosition="0">
        <references count="1">
          <reference field="5" count="0"/>
        </references>
      </pivotArea>
    </format>
    <format dxfId="438">
      <pivotArea dataOnly="0" labelOnly="1" grandRow="1" outline="0" fieldPosition="0"/>
    </format>
    <format dxfId="437">
      <pivotArea dataOnly="0" labelOnly="1" outline="0" axis="axisValues" fieldPosition="0"/>
    </format>
  </format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CF1843-7CDE-40CD-B249-3A8835A87FC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4">
    <pivotField dataField="1" showAll="0"/>
    <pivotField numFmtId="14" showAll="0">
      <items count="98">
        <item x="2"/>
        <item x="41"/>
        <item x="18"/>
        <item x="34"/>
        <item x="37"/>
        <item x="46"/>
        <item x="36"/>
        <item x="61"/>
        <item x="12"/>
        <item x="47"/>
        <item x="82"/>
        <item x="43"/>
        <item x="84"/>
        <item x="56"/>
        <item x="51"/>
        <item x="87"/>
        <item x="27"/>
        <item x="13"/>
        <item x="93"/>
        <item x="73"/>
        <item x="72"/>
        <item x="0"/>
        <item x="53"/>
        <item x="92"/>
        <item x="69"/>
        <item x="6"/>
        <item x="32"/>
        <item x="8"/>
        <item x="50"/>
        <item x="68"/>
        <item x="77"/>
        <item x="81"/>
        <item x="19"/>
        <item x="96"/>
        <item x="63"/>
        <item x="45"/>
        <item x="57"/>
        <item x="33"/>
        <item x="94"/>
        <item x="30"/>
        <item x="23"/>
        <item x="83"/>
        <item x="78"/>
        <item x="76"/>
        <item x="24"/>
        <item x="20"/>
        <item x="40"/>
        <item x="54"/>
        <item x="79"/>
        <item x="35"/>
        <item x="71"/>
        <item x="25"/>
        <item x="74"/>
        <item x="60"/>
        <item x="67"/>
        <item x="75"/>
        <item x="22"/>
        <item x="48"/>
        <item x="64"/>
        <item x="3"/>
        <item x="49"/>
        <item x="86"/>
        <item x="80"/>
        <item x="11"/>
        <item x="89"/>
        <item x="1"/>
        <item x="7"/>
        <item x="95"/>
        <item x="42"/>
        <item x="21"/>
        <item x="59"/>
        <item x="55"/>
        <item x="91"/>
        <item x="65"/>
        <item x="15"/>
        <item x="10"/>
        <item x="31"/>
        <item x="9"/>
        <item x="26"/>
        <item x="4"/>
        <item x="88"/>
        <item x="28"/>
        <item x="5"/>
        <item x="70"/>
        <item x="39"/>
        <item x="29"/>
        <item x="16"/>
        <item x="85"/>
        <item x="52"/>
        <item x="62"/>
        <item x="58"/>
        <item x="38"/>
        <item x="66"/>
        <item x="17"/>
        <item x="90"/>
        <item x="44"/>
        <item x="14"/>
        <item t="default"/>
      </items>
    </pivotField>
    <pivotField showAll="0"/>
    <pivotField showAll="0"/>
    <pivotField showAll="0">
      <items count="5">
        <item x="2"/>
        <item x="3"/>
        <item x="1"/>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Orders" fld="0" subtotal="count" baseField="0" baseItem="0"/>
  </dataFields>
  <formats count="9">
    <format dxfId="463">
      <pivotArea type="all" dataOnly="0" outline="0" fieldPosition="0"/>
    </format>
    <format dxfId="462">
      <pivotArea outline="0" collapsedLevelsAreSubtotals="1" fieldPosition="0"/>
    </format>
    <format dxfId="461">
      <pivotArea dataOnly="0" labelOnly="1" outline="0" axis="axisValues" fieldPosition="0"/>
    </format>
    <format dxfId="460">
      <pivotArea type="all" dataOnly="0" outline="0" fieldPosition="0"/>
    </format>
    <format dxfId="459">
      <pivotArea outline="0" collapsedLevelsAreSubtotals="1" fieldPosition="0"/>
    </format>
    <format dxfId="458">
      <pivotArea dataOnly="0" labelOnly="1" outline="0" axis="axisValues" fieldPosition="0"/>
    </format>
    <format dxfId="457">
      <pivotArea type="all" dataOnly="0" outline="0" fieldPosition="0"/>
    </format>
    <format dxfId="456">
      <pivotArea outline="0" collapsedLevelsAreSubtotals="1" fieldPosition="0"/>
    </format>
    <format dxfId="4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514A23-68AA-4166-91FB-6AAE70E5797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9:B22" firstHeaderRow="1" firstDataRow="1" firstDataCol="1"/>
  <pivotFields count="24">
    <pivotField showAll="0"/>
    <pivotField axis="axisRow" numFmtId="14" showAll="0">
      <items count="98">
        <item x="2"/>
        <item x="41"/>
        <item x="18"/>
        <item x="34"/>
        <item x="37"/>
        <item x="46"/>
        <item x="36"/>
        <item x="61"/>
        <item x="12"/>
        <item x="47"/>
        <item x="82"/>
        <item x="43"/>
        <item x="84"/>
        <item x="56"/>
        <item x="51"/>
        <item x="87"/>
        <item x="27"/>
        <item x="13"/>
        <item x="93"/>
        <item x="73"/>
        <item x="72"/>
        <item x="0"/>
        <item x="53"/>
        <item x="92"/>
        <item x="69"/>
        <item x="6"/>
        <item x="32"/>
        <item x="8"/>
        <item x="50"/>
        <item x="68"/>
        <item x="77"/>
        <item x="81"/>
        <item x="19"/>
        <item x="96"/>
        <item x="63"/>
        <item x="45"/>
        <item x="57"/>
        <item x="33"/>
        <item x="94"/>
        <item x="30"/>
        <item x="23"/>
        <item x="83"/>
        <item x="78"/>
        <item x="76"/>
        <item x="24"/>
        <item x="20"/>
        <item x="40"/>
        <item x="54"/>
        <item x="79"/>
        <item x="35"/>
        <item x="71"/>
        <item x="25"/>
        <item x="74"/>
        <item x="60"/>
        <item x="67"/>
        <item x="75"/>
        <item x="22"/>
        <item x="48"/>
        <item x="64"/>
        <item x="3"/>
        <item x="49"/>
        <item x="86"/>
        <item x="80"/>
        <item x="11"/>
        <item x="89"/>
        <item x="1"/>
        <item x="7"/>
        <item x="95"/>
        <item x="42"/>
        <item x="21"/>
        <item x="59"/>
        <item x="55"/>
        <item x="91"/>
        <item x="65"/>
        <item x="15"/>
        <item x="10"/>
        <item x="31"/>
        <item x="9"/>
        <item x="26"/>
        <item x="4"/>
        <item x="88"/>
        <item x="28"/>
        <item x="5"/>
        <item x="70"/>
        <item x="39"/>
        <item x="29"/>
        <item x="16"/>
        <item x="85"/>
        <item x="52"/>
        <item x="62"/>
        <item x="58"/>
        <item x="38"/>
        <item x="66"/>
        <item x="17"/>
        <item x="90"/>
        <item x="44"/>
        <item x="14"/>
        <item t="default"/>
      </items>
    </pivotField>
    <pivotField showAll="0"/>
    <pivotField showAll="0"/>
    <pivotField showAll="0">
      <items count="5">
        <item x="2"/>
        <item x="3"/>
        <item x="1"/>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1"/>
    <field x="1"/>
  </rowFields>
  <rowItems count="13">
    <i>
      <x v="1"/>
    </i>
    <i>
      <x v="2"/>
    </i>
    <i>
      <x v="3"/>
    </i>
    <i>
      <x v="4"/>
    </i>
    <i>
      <x v="5"/>
    </i>
    <i>
      <x v="6"/>
    </i>
    <i>
      <x v="7"/>
    </i>
    <i>
      <x v="8"/>
    </i>
    <i>
      <x v="9"/>
    </i>
    <i>
      <x v="10"/>
    </i>
    <i>
      <x v="11"/>
    </i>
    <i>
      <x v="12"/>
    </i>
    <i t="grand">
      <x/>
    </i>
  </rowItems>
  <colItems count="1">
    <i/>
  </colItems>
  <dataFields count="1">
    <dataField name="Sum of Total" fld="16" baseField="0" baseItem="0"/>
  </dataFields>
  <formats count="18">
    <format dxfId="481">
      <pivotArea type="all" dataOnly="0" outline="0" fieldPosition="0"/>
    </format>
    <format dxfId="480">
      <pivotArea outline="0" collapsedLevelsAreSubtotals="1" fieldPosition="0"/>
    </format>
    <format dxfId="479">
      <pivotArea field="21" type="button" dataOnly="0" labelOnly="1" outline="0" axis="axisRow" fieldPosition="0"/>
    </format>
    <format dxfId="478">
      <pivotArea dataOnly="0" labelOnly="1" fieldPosition="0">
        <references count="1">
          <reference field="21" count="12">
            <x v="1"/>
            <x v="2"/>
            <x v="3"/>
            <x v="4"/>
            <x v="5"/>
            <x v="6"/>
            <x v="7"/>
            <x v="8"/>
            <x v="9"/>
            <x v="10"/>
            <x v="11"/>
            <x v="12"/>
          </reference>
        </references>
      </pivotArea>
    </format>
    <format dxfId="477">
      <pivotArea dataOnly="0" labelOnly="1" grandRow="1" outline="0" fieldPosition="0"/>
    </format>
    <format dxfId="476">
      <pivotArea dataOnly="0" labelOnly="1" outline="0" axis="axisValues" fieldPosition="0"/>
    </format>
    <format dxfId="475">
      <pivotArea type="all" dataOnly="0" outline="0" fieldPosition="0"/>
    </format>
    <format dxfId="474">
      <pivotArea outline="0" collapsedLevelsAreSubtotals="1" fieldPosition="0"/>
    </format>
    <format dxfId="473">
      <pivotArea field="21" type="button" dataOnly="0" labelOnly="1" outline="0" axis="axisRow" fieldPosition="0"/>
    </format>
    <format dxfId="472">
      <pivotArea dataOnly="0" labelOnly="1" fieldPosition="0">
        <references count="1">
          <reference field="21" count="12">
            <x v="1"/>
            <x v="2"/>
            <x v="3"/>
            <x v="4"/>
            <x v="5"/>
            <x v="6"/>
            <x v="7"/>
            <x v="8"/>
            <x v="9"/>
            <x v="10"/>
            <x v="11"/>
            <x v="12"/>
          </reference>
        </references>
      </pivotArea>
    </format>
    <format dxfId="471">
      <pivotArea dataOnly="0" labelOnly="1" grandRow="1" outline="0" fieldPosition="0"/>
    </format>
    <format dxfId="470">
      <pivotArea dataOnly="0" labelOnly="1" outline="0" axis="axisValues" fieldPosition="0"/>
    </format>
    <format dxfId="469">
      <pivotArea type="all" dataOnly="0" outline="0" fieldPosition="0"/>
    </format>
    <format dxfId="468">
      <pivotArea outline="0" collapsedLevelsAreSubtotals="1" fieldPosition="0"/>
    </format>
    <format dxfId="467">
      <pivotArea field="21" type="button" dataOnly="0" labelOnly="1" outline="0" axis="axisRow" fieldPosition="0"/>
    </format>
    <format dxfId="466">
      <pivotArea dataOnly="0" labelOnly="1" fieldPosition="0">
        <references count="1">
          <reference field="21" count="12">
            <x v="1"/>
            <x v="2"/>
            <x v="3"/>
            <x v="4"/>
            <x v="5"/>
            <x v="6"/>
            <x v="7"/>
            <x v="8"/>
            <x v="9"/>
            <x v="10"/>
            <x v="11"/>
            <x v="12"/>
          </reference>
        </references>
      </pivotArea>
    </format>
    <format dxfId="465">
      <pivotArea dataOnly="0" labelOnly="1" grandRow="1" outline="0" fieldPosition="0"/>
    </format>
    <format dxfId="464">
      <pivotArea dataOnly="0" labelOnly="1" outline="0" axis="axisValues" fieldPosition="0"/>
    </format>
  </formats>
  <chartFormats count="1">
    <chartFormat chart="2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220C46-7984-4078-A36C-90E7241B5C93}" sourceName="Category">
  <pivotTables>
    <pivotTable tabId="2" name="PivotTable6"/>
    <pivotTable tabId="2" name="PivotTable1"/>
    <pivotTable tabId="2" name="PivotTable11"/>
    <pivotTable tabId="2" name="PivotTable12"/>
    <pivotTable tabId="2" name="PivotTable2"/>
    <pivotTable tabId="2" name="PivotTable3"/>
    <pivotTable tabId="2" name="PivotTable4"/>
    <pivotTable tabId="2" name="PivotTable5"/>
  </pivotTables>
  <data>
    <tabular pivotCacheId="96853481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8A6184-D68D-4A4C-9482-0D5B7EA3110D}" sourceName="Region">
  <pivotTables>
    <pivotTable tabId="2" name="PivotTable6"/>
    <pivotTable tabId="2" name="PivotTable1"/>
    <pivotTable tabId="2" name="PivotTable11"/>
    <pivotTable tabId="2" name="PivotTable12"/>
    <pivotTable tabId="2" name="PivotTable2"/>
    <pivotTable tabId="2" name="PivotTable3"/>
    <pivotTable tabId="2" name="PivotTable4"/>
    <pivotTable tabId="2" name="PivotTable5"/>
  </pivotTables>
  <data>
    <tabular pivotCacheId="968534812">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440ACEE-9BC9-4385-B1B3-652651326675}" cache="Slicer_Category" caption="Category" rowHeight="220133"/>
  <slicer name="Region" xr10:uid="{E1A2CEE3-C9B3-42BB-84C0-D5BB6E078F3C}" cache="Slicer_Region" caption="Region"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DFBBA6-0AFE-4E8E-929F-50640F7D48FF}" name="Table1" displayName="Table1" ref="A1:U102" totalsRowCount="1" headerRowDxfId="372" headerRowBorderDxfId="371" tableBorderDxfId="370" totalsRowBorderDxfId="369">
  <autoFilter ref="A1:U101" xr:uid="{4DDFBBA6-0AFE-4E8E-929F-50640F7D48FF}"/>
  <tableColumns count="21">
    <tableColumn id="1" xr3:uid="{F8C994FF-7413-4AE7-9DD4-73225494C810}" name="Order_ID" dataDxfId="368" totalsRowDxfId="367"/>
    <tableColumn id="2" xr3:uid="{4C0BD283-8E95-4466-A541-EFCEB01C9170}" name="Order_Date" dataDxfId="366" totalsRowDxfId="365"/>
    <tableColumn id="3" xr3:uid="{F91DB059-44A9-4D69-B531-1A6BC5B39809}" name="Customer_ID" dataDxfId="364" totalsRowDxfId="363"/>
    <tableColumn id="4" xr3:uid="{1BAD1449-57B2-4B51-A9D1-321E1F24AE8C}" name="Customer_Type" dataDxfId="362" totalsRowDxfId="361"/>
    <tableColumn id="5" xr3:uid="{A803704B-0042-4241-B9F9-69D7F7F747DE}" name="Region" dataDxfId="360" totalsRowDxfId="359"/>
    <tableColumn id="6" xr3:uid="{12833C27-32FE-4299-8146-6FEB79C45CF8}" name="Category" dataDxfId="358" totalsRowDxfId="357"/>
    <tableColumn id="7" xr3:uid="{CE49E296-3173-4BCF-AEEA-B3CE541296A7}" name="Subcategory" dataDxfId="356" totalsRowDxfId="355"/>
    <tableColumn id="8" xr3:uid="{350715DA-DDF4-4A6E-BFB5-F6BC47648B18}" name="Product_ID" dataDxfId="354" totalsRowDxfId="353"/>
    <tableColumn id="9" xr3:uid="{BE3FAFB3-1609-4444-B6A3-92AA6AC47209}" name="Product_Name" dataDxfId="352" totalsRowDxfId="351"/>
    <tableColumn id="10" xr3:uid="{5C5E83C3-E62B-4874-98B6-B779B386F796}" name="Brand" dataDxfId="350" totalsRowDxfId="349"/>
    <tableColumn id="11" xr3:uid="{B643264E-0CA2-4D0B-948F-168662662813}" name="Quantity" dataDxfId="348" totalsRowDxfId="347"/>
    <tableColumn id="12" xr3:uid="{5BF055B6-C89A-4791-88B4-A9342649B995}" name="Unit_Price" dataDxfId="346" totalsRowDxfId="345"/>
    <tableColumn id="13" xr3:uid="{315157B1-4FC1-4530-A6B8-BE70DCA80079}" name="Discount" dataDxfId="344" totalsRowDxfId="343"/>
    <tableColumn id="14" xr3:uid="{F977CDEB-124C-40E4-8CBF-829D07ECA5FA}" name="Subtotal" dataDxfId="342" totalsRowDxfId="341"/>
    <tableColumn id="15" xr3:uid="{00F7833E-3668-4D3B-BAE1-5402C1951F1B}" name="Tax" dataDxfId="340" totalsRowDxfId="339"/>
    <tableColumn id="16" xr3:uid="{F58265EC-049B-4E6A-869A-09D3F05E6C21}" name="Shipping" dataDxfId="338" totalsRowDxfId="337"/>
    <tableColumn id="17" xr3:uid="{44C2C8FA-F360-4A35-9156-60148E458E5D}" name="Total" dataDxfId="336" totalsRowDxfId="335"/>
    <tableColumn id="18" xr3:uid="{FF1D56D8-1F19-4829-8DE8-DFA4124E819F}" name="Status" dataDxfId="334" totalsRowDxfId="333"/>
    <tableColumn id="19" xr3:uid="{CE040164-4C9D-4DCD-8BCF-7975244B08B5}" name="Ship_Date" dataDxfId="332" totalsRowDxfId="331"/>
    <tableColumn id="20" xr3:uid="{10066692-B805-4E82-AC09-FCDA9233E40B}" name="Return_Flag" dataDxfId="330" totalsRowDxfId="329"/>
    <tableColumn id="21" xr3:uid="{CD778D40-5F6D-4C30-8802-F18A31E72822}" name="Flag value" dataDxfId="328" totalsRowDxfId="327">
      <calculatedColumnFormula>IF(Table1[[#This Row],[Return_Flag]]="Yes",1,0)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28D14C88-6806-45C3-953D-12F6BE5B9821}" sourceName="Order_Date">
  <pivotTables>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s>
  <state minimalRefreshVersion="6" lastRefreshVersion="6" pivotCacheId="96853481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E78789D-9E53-4020-ADE1-9B3003DC3EC1}" cache="NativeTimeline_Order_Date" caption="Order_Date" level="2" selectionLevel="2" scrollPosition="2025-05-12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22F0-CB87-4F9B-880E-2E1C0BD8A4D5}">
  <dimension ref="A3:O22"/>
  <sheetViews>
    <sheetView zoomScaleNormal="100" workbookViewId="0">
      <selection activeCell="K5" sqref="K5"/>
    </sheetView>
  </sheetViews>
  <sheetFormatPr defaultRowHeight="12.5"/>
  <cols>
    <col min="1" max="1" width="15.26953125" bestFit="1" customWidth="1"/>
    <col min="2" max="2" width="11.81640625" bestFit="1" customWidth="1"/>
    <col min="3" max="3" width="11.7265625" bestFit="1" customWidth="1"/>
    <col min="4" max="4" width="6.81640625" bestFit="1" customWidth="1"/>
    <col min="5" max="5" width="15.26953125" bestFit="1" customWidth="1"/>
    <col min="6" max="6" width="11.81640625" bestFit="1" customWidth="1"/>
    <col min="7" max="7" width="11.08984375" bestFit="1" customWidth="1"/>
    <col min="8" max="8" width="15.26953125" bestFit="1" customWidth="1"/>
    <col min="9" max="9" width="11.81640625" bestFit="1" customWidth="1"/>
    <col min="10" max="10" width="8.81640625" bestFit="1" customWidth="1"/>
    <col min="11" max="11" width="15.26953125" bestFit="1" customWidth="1"/>
    <col min="12" max="12" width="11.81640625" bestFit="1" customWidth="1"/>
    <col min="13" max="13" width="7.81640625" bestFit="1" customWidth="1"/>
    <col min="14" max="14" width="13" bestFit="1" customWidth="1"/>
    <col min="15" max="16" width="7.81640625" bestFit="1" customWidth="1"/>
    <col min="17" max="19" width="8.81640625" bestFit="1" customWidth="1"/>
    <col min="20" max="20" width="7.81640625" bestFit="1" customWidth="1"/>
    <col min="21" max="21" width="8.81640625" bestFit="1" customWidth="1"/>
    <col min="22" max="23" width="7.81640625" bestFit="1" customWidth="1"/>
    <col min="24" max="24" width="8.81640625" bestFit="1" customWidth="1"/>
    <col min="25" max="26" width="7.81640625" bestFit="1" customWidth="1"/>
    <col min="27" max="29" width="8.81640625" bestFit="1" customWidth="1"/>
    <col min="30" max="30" width="7.81640625" bestFit="1" customWidth="1"/>
    <col min="31" max="33" width="8.81640625" bestFit="1" customWidth="1"/>
    <col min="34" max="34" width="7.81640625" bestFit="1" customWidth="1"/>
    <col min="35" max="37" width="8.81640625" bestFit="1" customWidth="1"/>
    <col min="38" max="38" width="7.81640625" bestFit="1" customWidth="1"/>
    <col min="39" max="39" width="5.81640625" bestFit="1" customWidth="1"/>
    <col min="40" max="40" width="7.81640625" bestFit="1" customWidth="1"/>
    <col min="41" max="41" width="5.81640625" bestFit="1" customWidth="1"/>
    <col min="42" max="42" width="7.81640625" bestFit="1" customWidth="1"/>
    <col min="43" max="44" width="8.81640625" bestFit="1" customWidth="1"/>
    <col min="45" max="46" width="7.81640625" bestFit="1" customWidth="1"/>
    <col min="47" max="47" width="8.81640625" bestFit="1" customWidth="1"/>
    <col min="48" max="49" width="7.81640625" bestFit="1" customWidth="1"/>
    <col min="50" max="51" width="8.81640625" bestFit="1" customWidth="1"/>
    <col min="52" max="54" width="7.81640625" bestFit="1" customWidth="1"/>
    <col min="55" max="100" width="8.81640625" bestFit="1" customWidth="1"/>
    <col min="101" max="101" width="6.81640625" bestFit="1" customWidth="1"/>
    <col min="102" max="102" width="11.81640625" bestFit="1" customWidth="1"/>
  </cols>
  <sheetData>
    <row r="3" spans="1:15" ht="26" customHeight="1">
      <c r="A3" s="29" t="s">
        <v>448</v>
      </c>
      <c r="B3" s="30"/>
      <c r="C3" s="29" t="s">
        <v>449</v>
      </c>
      <c r="D3" s="30"/>
      <c r="E3" s="31" t="s">
        <v>452</v>
      </c>
      <c r="F3" s="30"/>
      <c r="G3" s="29" t="s">
        <v>455</v>
      </c>
    </row>
    <row r="4" spans="1:15" ht="18.5" customHeight="1">
      <c r="A4" s="41">
        <v>10964519.950000003</v>
      </c>
      <c r="B4" s="30"/>
      <c r="C4" s="41">
        <v>100</v>
      </c>
      <c r="D4" s="30"/>
      <c r="E4" s="42">
        <v>109645.19950000003</v>
      </c>
      <c r="F4" s="30"/>
      <c r="G4" s="32">
        <v>0.36</v>
      </c>
    </row>
    <row r="5" spans="1:15">
      <c r="E5" s="14"/>
    </row>
    <row r="7" spans="1:15" ht="13" customHeight="1">
      <c r="A7" s="40" t="s">
        <v>470</v>
      </c>
      <c r="B7" s="40"/>
      <c r="C7" s="25"/>
      <c r="E7" s="40" t="s">
        <v>471</v>
      </c>
      <c r="F7" s="40"/>
      <c r="H7" s="40" t="s">
        <v>472</v>
      </c>
      <c r="I7" s="40"/>
      <c r="K7" s="40" t="s">
        <v>473</v>
      </c>
      <c r="L7" s="40"/>
      <c r="M7" s="25"/>
      <c r="N7" s="25"/>
      <c r="O7" s="36"/>
    </row>
    <row r="9" spans="1:15">
      <c r="A9" s="34" t="s">
        <v>450</v>
      </c>
      <c r="B9" s="29" t="s">
        <v>456</v>
      </c>
      <c r="E9" s="34" t="s">
        <v>450</v>
      </c>
      <c r="F9" s="29" t="s">
        <v>456</v>
      </c>
      <c r="H9" s="34" t="s">
        <v>450</v>
      </c>
      <c r="I9" s="29" t="s">
        <v>456</v>
      </c>
      <c r="K9" s="34" t="s">
        <v>450</v>
      </c>
      <c r="L9" s="29" t="s">
        <v>456</v>
      </c>
    </row>
    <row r="10" spans="1:15">
      <c r="A10" s="29" t="s">
        <v>458</v>
      </c>
      <c r="B10" s="41">
        <v>255260.94999999998</v>
      </c>
      <c r="E10" s="29" t="s">
        <v>49</v>
      </c>
      <c r="F10" s="41">
        <v>3816358.0999999996</v>
      </c>
      <c r="H10" s="29" t="s">
        <v>402</v>
      </c>
      <c r="I10" s="35">
        <v>364807</v>
      </c>
      <c r="K10" s="29" t="s">
        <v>56</v>
      </c>
      <c r="L10" s="35">
        <v>2128014.35</v>
      </c>
    </row>
    <row r="11" spans="1:15">
      <c r="A11" s="29" t="s">
        <v>459</v>
      </c>
      <c r="B11" s="41">
        <v>829144.5</v>
      </c>
      <c r="E11" s="29" t="s">
        <v>23</v>
      </c>
      <c r="F11" s="41">
        <v>2490230.4</v>
      </c>
      <c r="H11" s="29" t="s">
        <v>146</v>
      </c>
      <c r="I11" s="35">
        <v>341520.1</v>
      </c>
      <c r="K11" s="29" t="s">
        <v>61</v>
      </c>
      <c r="L11" s="35">
        <v>2508745.8499999996</v>
      </c>
    </row>
    <row r="12" spans="1:15">
      <c r="A12" s="29" t="s">
        <v>460</v>
      </c>
      <c r="B12" s="41">
        <v>1433794.2000000002</v>
      </c>
      <c r="E12" s="29" t="s">
        <v>34</v>
      </c>
      <c r="F12" s="41">
        <v>4657931.45</v>
      </c>
      <c r="H12" s="29" t="s">
        <v>414</v>
      </c>
      <c r="I12" s="35">
        <v>298138.59999999998</v>
      </c>
      <c r="K12" s="29" t="s">
        <v>33</v>
      </c>
      <c r="L12" s="35">
        <v>2023214.8500000006</v>
      </c>
    </row>
    <row r="13" spans="1:15">
      <c r="A13" s="29" t="s">
        <v>461</v>
      </c>
      <c r="B13" s="41">
        <v>856466.24999999988</v>
      </c>
      <c r="E13" s="29" t="s">
        <v>451</v>
      </c>
      <c r="F13" s="41">
        <v>10964519.949999999</v>
      </c>
      <c r="H13" s="29" t="s">
        <v>83</v>
      </c>
      <c r="I13" s="35">
        <v>286275.40000000002</v>
      </c>
      <c r="K13" s="29" t="s">
        <v>22</v>
      </c>
      <c r="L13" s="35">
        <v>4304544.9000000004</v>
      </c>
    </row>
    <row r="14" spans="1:15">
      <c r="A14" s="29" t="s">
        <v>462</v>
      </c>
      <c r="B14" s="41">
        <v>1104898.2000000002</v>
      </c>
      <c r="H14" s="29" t="s">
        <v>80</v>
      </c>
      <c r="I14" s="35">
        <v>286053.8</v>
      </c>
      <c r="K14" s="15" t="s">
        <v>451</v>
      </c>
      <c r="L14" s="23">
        <v>10964519.949999999</v>
      </c>
    </row>
    <row r="15" spans="1:15">
      <c r="A15" s="29" t="s">
        <v>463</v>
      </c>
      <c r="B15" s="41">
        <v>953736.30000000016</v>
      </c>
      <c r="H15" s="29" t="s">
        <v>451</v>
      </c>
      <c r="I15" s="35">
        <v>1576794.9</v>
      </c>
    </row>
    <row r="16" spans="1:15">
      <c r="A16" s="29" t="s">
        <v>464</v>
      </c>
      <c r="B16" s="41">
        <v>1484402.6</v>
      </c>
    </row>
    <row r="17" spans="1:5">
      <c r="A17" s="29" t="s">
        <v>465</v>
      </c>
      <c r="B17" s="41">
        <v>195179.1</v>
      </c>
    </row>
    <row r="18" spans="1:5">
      <c r="A18" s="29" t="s">
        <v>466</v>
      </c>
      <c r="B18" s="41">
        <v>735718</v>
      </c>
      <c r="E18" s="23"/>
    </row>
    <row r="19" spans="1:5">
      <c r="A19" s="29" t="s">
        <v>467</v>
      </c>
      <c r="B19" s="41">
        <v>1213233.05</v>
      </c>
      <c r="E19" s="23"/>
    </row>
    <row r="20" spans="1:5">
      <c r="A20" s="29" t="s">
        <v>468</v>
      </c>
      <c r="B20" s="41">
        <v>862917.4</v>
      </c>
      <c r="D20" s="15"/>
      <c r="E20" s="23"/>
    </row>
    <row r="21" spans="1:5">
      <c r="A21" s="29" t="s">
        <v>469</v>
      </c>
      <c r="B21" s="41">
        <v>1039769.4</v>
      </c>
      <c r="D21" s="15"/>
      <c r="E21" s="23"/>
    </row>
    <row r="22" spans="1:5">
      <c r="A22" s="29" t="s">
        <v>451</v>
      </c>
      <c r="B22" s="41">
        <v>10964519.950000001</v>
      </c>
      <c r="D22" s="15"/>
      <c r="E22" s="23"/>
    </row>
  </sheetData>
  <mergeCells count="4">
    <mergeCell ref="A7:B7"/>
    <mergeCell ref="E7:F7"/>
    <mergeCell ref="H7:I7"/>
    <mergeCell ref="K7:L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102"/>
  <sheetViews>
    <sheetView workbookViewId="0">
      <selection activeCell="B1" sqref="B1:B1048576"/>
    </sheetView>
  </sheetViews>
  <sheetFormatPr defaultColWidth="12.6328125" defaultRowHeight="15.75" customHeight="1"/>
  <cols>
    <col min="2" max="2" width="13.453125" style="7" customWidth="1"/>
    <col min="3" max="3" width="14.90625" customWidth="1"/>
    <col min="4" max="4" width="17.6328125" customWidth="1"/>
    <col min="7" max="7" width="14.54296875" customWidth="1"/>
    <col min="8" max="8" width="13.1796875" customWidth="1"/>
    <col min="9" max="9" width="16.6328125" customWidth="1"/>
    <col min="12" max="17" width="12.6328125" style="23"/>
    <col min="20" max="20" width="14.08984375" customWidth="1"/>
    <col min="21" max="21" width="12.6328125" style="23"/>
  </cols>
  <sheetData>
    <row r="1" spans="1:21" ht="14">
      <c r="A1" s="8" t="s">
        <v>0</v>
      </c>
      <c r="B1" s="9" t="s">
        <v>1</v>
      </c>
      <c r="C1" s="8" t="s">
        <v>2</v>
      </c>
      <c r="D1" s="8" t="s">
        <v>3</v>
      </c>
      <c r="E1" s="8" t="s">
        <v>4</v>
      </c>
      <c r="F1" s="8" t="s">
        <v>5</v>
      </c>
      <c r="G1" s="8" t="s">
        <v>6</v>
      </c>
      <c r="H1" s="8" t="s">
        <v>7</v>
      </c>
      <c r="I1" s="8" t="s">
        <v>8</v>
      </c>
      <c r="J1" s="8" t="s">
        <v>9</v>
      </c>
      <c r="K1" s="8" t="s">
        <v>10</v>
      </c>
      <c r="L1" s="22" t="s">
        <v>11</v>
      </c>
      <c r="M1" s="22" t="s">
        <v>12</v>
      </c>
      <c r="N1" s="22" t="s">
        <v>13</v>
      </c>
      <c r="O1" s="22" t="s">
        <v>14</v>
      </c>
      <c r="P1" s="22" t="s">
        <v>15</v>
      </c>
      <c r="Q1" s="22" t="s">
        <v>16</v>
      </c>
      <c r="R1" s="8" t="s">
        <v>17</v>
      </c>
      <c r="S1" s="8" t="s">
        <v>18</v>
      </c>
      <c r="T1" s="8" t="s">
        <v>19</v>
      </c>
      <c r="U1" s="22" t="s">
        <v>457</v>
      </c>
    </row>
    <row r="2" spans="1:21" ht="14">
      <c r="A2" s="1">
        <v>1001</v>
      </c>
      <c r="B2" s="5">
        <v>45429</v>
      </c>
      <c r="C2" s="2" t="s">
        <v>20</v>
      </c>
      <c r="D2" s="2" t="s">
        <v>21</v>
      </c>
      <c r="E2" s="2" t="s">
        <v>22</v>
      </c>
      <c r="F2" s="2" t="s">
        <v>23</v>
      </c>
      <c r="G2" s="2" t="s">
        <v>24</v>
      </c>
      <c r="H2" s="2" t="s">
        <v>25</v>
      </c>
      <c r="I2" s="2" t="s">
        <v>26</v>
      </c>
      <c r="J2" s="2" t="s">
        <v>27</v>
      </c>
      <c r="K2" s="1">
        <v>1</v>
      </c>
      <c r="L2" s="26">
        <v>65937</v>
      </c>
      <c r="M2" s="26">
        <v>1841</v>
      </c>
      <c r="N2" s="26">
        <v>64096</v>
      </c>
      <c r="O2" s="26">
        <v>3204.8</v>
      </c>
      <c r="P2" s="26">
        <v>300</v>
      </c>
      <c r="Q2" s="26">
        <v>67600.800000000003</v>
      </c>
      <c r="R2" s="2" t="s">
        <v>28</v>
      </c>
      <c r="S2" s="1" t="s">
        <v>29</v>
      </c>
      <c r="T2" s="2" t="s">
        <v>30</v>
      </c>
      <c r="U2">
        <f>IF(Table1[[#This Row],[Return_Flag]]="Yes",1,0)</f>
        <v>0</v>
      </c>
    </row>
    <row r="3" spans="1:21" ht="14">
      <c r="A3" s="3">
        <v>1002</v>
      </c>
      <c r="B3" s="6">
        <v>45791</v>
      </c>
      <c r="C3" s="4" t="s">
        <v>31</v>
      </c>
      <c r="D3" s="4" t="s">
        <v>32</v>
      </c>
      <c r="E3" s="4" t="s">
        <v>33</v>
      </c>
      <c r="F3" s="4" t="s">
        <v>34</v>
      </c>
      <c r="G3" s="4" t="s">
        <v>35</v>
      </c>
      <c r="H3" s="4" t="s">
        <v>36</v>
      </c>
      <c r="I3" s="4" t="s">
        <v>37</v>
      </c>
      <c r="J3" s="4" t="s">
        <v>38</v>
      </c>
      <c r="K3" s="3">
        <v>5</v>
      </c>
      <c r="L3" s="27">
        <v>1276</v>
      </c>
      <c r="M3" s="27">
        <v>2850</v>
      </c>
      <c r="N3" s="27">
        <v>3530</v>
      </c>
      <c r="O3" s="27">
        <v>176.5</v>
      </c>
      <c r="P3" s="27">
        <v>300</v>
      </c>
      <c r="Q3" s="27">
        <v>4006.5</v>
      </c>
      <c r="R3" s="4" t="s">
        <v>39</v>
      </c>
      <c r="S3" s="1" t="s">
        <v>40</v>
      </c>
      <c r="T3" s="4" t="s">
        <v>41</v>
      </c>
      <c r="U3">
        <f>IF(Table1[[#This Row],[Return_Flag]]="Yes",1,0)</f>
        <v>1</v>
      </c>
    </row>
    <row r="4" spans="1:21" ht="14">
      <c r="A4" s="1">
        <v>1003</v>
      </c>
      <c r="B4" s="5">
        <v>45293</v>
      </c>
      <c r="C4" s="2" t="s">
        <v>42</v>
      </c>
      <c r="D4" s="2" t="s">
        <v>32</v>
      </c>
      <c r="E4" s="2" t="s">
        <v>22</v>
      </c>
      <c r="F4" s="2" t="s">
        <v>23</v>
      </c>
      <c r="G4" s="2" t="s">
        <v>43</v>
      </c>
      <c r="H4" s="2" t="s">
        <v>44</v>
      </c>
      <c r="I4" s="2" t="s">
        <v>45</v>
      </c>
      <c r="J4" s="2" t="s">
        <v>46</v>
      </c>
      <c r="K4" s="1">
        <v>5</v>
      </c>
      <c r="L4" s="26">
        <v>2206</v>
      </c>
      <c r="M4" s="26">
        <v>1561</v>
      </c>
      <c r="N4" s="26">
        <v>9469</v>
      </c>
      <c r="O4" s="26">
        <v>473.45</v>
      </c>
      <c r="P4" s="26">
        <v>150</v>
      </c>
      <c r="Q4" s="26">
        <v>10092.450000000001</v>
      </c>
      <c r="R4" s="2" t="s">
        <v>39</v>
      </c>
      <c r="S4" s="1" t="s">
        <v>47</v>
      </c>
      <c r="T4" s="2" t="s">
        <v>41</v>
      </c>
      <c r="U4">
        <f>IF(Table1[[#This Row],[Return_Flag]]="Yes",1,0)</f>
        <v>1</v>
      </c>
    </row>
    <row r="5" spans="1:21" ht="14">
      <c r="A5" s="3">
        <v>1004</v>
      </c>
      <c r="B5" s="6">
        <v>45740</v>
      </c>
      <c r="C5" s="4" t="s">
        <v>48</v>
      </c>
      <c r="D5" s="4" t="s">
        <v>21</v>
      </c>
      <c r="E5" s="4" t="s">
        <v>33</v>
      </c>
      <c r="F5" s="4" t="s">
        <v>49</v>
      </c>
      <c r="G5" s="4" t="s">
        <v>50</v>
      </c>
      <c r="H5" s="4" t="s">
        <v>51</v>
      </c>
      <c r="I5" s="4" t="s">
        <v>52</v>
      </c>
      <c r="J5" s="4" t="s">
        <v>53</v>
      </c>
      <c r="K5" s="3">
        <v>3</v>
      </c>
      <c r="L5" s="27">
        <v>31260</v>
      </c>
      <c r="M5" s="27">
        <v>2772</v>
      </c>
      <c r="N5" s="27">
        <v>91008</v>
      </c>
      <c r="O5" s="27">
        <v>4550.3999999999996</v>
      </c>
      <c r="P5" s="27">
        <v>150</v>
      </c>
      <c r="Q5" s="27">
        <v>95708.4</v>
      </c>
      <c r="R5" s="4" t="s">
        <v>39</v>
      </c>
      <c r="S5" s="1" t="s">
        <v>54</v>
      </c>
      <c r="T5" s="4" t="s">
        <v>41</v>
      </c>
      <c r="U5">
        <f>IF(Table1[[#This Row],[Return_Flag]]="Yes",1,0)</f>
        <v>1</v>
      </c>
    </row>
    <row r="6" spans="1:21" ht="14">
      <c r="A6" s="1">
        <v>1005</v>
      </c>
      <c r="B6" s="5">
        <v>45861</v>
      </c>
      <c r="C6" s="2" t="s">
        <v>55</v>
      </c>
      <c r="D6" s="2" t="s">
        <v>32</v>
      </c>
      <c r="E6" s="2" t="s">
        <v>56</v>
      </c>
      <c r="F6" s="2" t="s">
        <v>23</v>
      </c>
      <c r="G6" s="2" t="s">
        <v>43</v>
      </c>
      <c r="H6" s="2" t="s">
        <v>57</v>
      </c>
      <c r="I6" s="2" t="s">
        <v>58</v>
      </c>
      <c r="J6" s="2" t="s">
        <v>38</v>
      </c>
      <c r="K6" s="1">
        <v>3</v>
      </c>
      <c r="L6" s="26">
        <v>16845</v>
      </c>
      <c r="M6" s="26">
        <v>1362</v>
      </c>
      <c r="N6" s="26">
        <v>49173</v>
      </c>
      <c r="O6" s="26">
        <v>2458.65</v>
      </c>
      <c r="P6" s="26">
        <v>500</v>
      </c>
      <c r="Q6" s="26">
        <v>52131.65</v>
      </c>
      <c r="R6" s="2" t="s">
        <v>39</v>
      </c>
      <c r="S6" s="1" t="s">
        <v>59</v>
      </c>
      <c r="T6" s="2" t="s">
        <v>41</v>
      </c>
      <c r="U6">
        <f>IF(Table1[[#This Row],[Return_Flag]]="Yes",1,0)</f>
        <v>1</v>
      </c>
    </row>
    <row r="7" spans="1:21" ht="14">
      <c r="A7" s="3">
        <v>1006</v>
      </c>
      <c r="B7" s="6">
        <v>45893</v>
      </c>
      <c r="C7" s="4" t="s">
        <v>60</v>
      </c>
      <c r="D7" s="4" t="s">
        <v>21</v>
      </c>
      <c r="E7" s="4" t="s">
        <v>61</v>
      </c>
      <c r="F7" s="4" t="s">
        <v>49</v>
      </c>
      <c r="G7" s="4" t="s">
        <v>62</v>
      </c>
      <c r="H7" s="4" t="s">
        <v>63</v>
      </c>
      <c r="I7" s="4" t="s">
        <v>64</v>
      </c>
      <c r="J7" s="4" t="s">
        <v>65</v>
      </c>
      <c r="K7" s="3">
        <v>5</v>
      </c>
      <c r="L7" s="27">
        <v>5525</v>
      </c>
      <c r="M7" s="27">
        <v>1967</v>
      </c>
      <c r="N7" s="27">
        <v>25658</v>
      </c>
      <c r="O7" s="27">
        <v>1282.9000000000001</v>
      </c>
      <c r="P7" s="27">
        <v>150</v>
      </c>
      <c r="Q7" s="27">
        <v>27090.9</v>
      </c>
      <c r="R7" s="4" t="s">
        <v>28</v>
      </c>
      <c r="S7" s="1" t="s">
        <v>66</v>
      </c>
      <c r="T7" s="4" t="s">
        <v>30</v>
      </c>
      <c r="U7">
        <f>IF(Table1[[#This Row],[Return_Flag]]="Yes",1,0)</f>
        <v>0</v>
      </c>
    </row>
    <row r="8" spans="1:21" ht="14">
      <c r="A8" s="1">
        <v>1007</v>
      </c>
      <c r="B8" s="5">
        <v>45469</v>
      </c>
      <c r="C8" s="2" t="s">
        <v>67</v>
      </c>
      <c r="D8" s="2" t="s">
        <v>32</v>
      </c>
      <c r="E8" s="2" t="s">
        <v>61</v>
      </c>
      <c r="F8" s="2" t="s">
        <v>49</v>
      </c>
      <c r="G8" s="2" t="s">
        <v>68</v>
      </c>
      <c r="H8" s="2" t="s">
        <v>69</v>
      </c>
      <c r="I8" s="2" t="s">
        <v>70</v>
      </c>
      <c r="J8" s="2" t="s">
        <v>38</v>
      </c>
      <c r="K8" s="1">
        <v>3</v>
      </c>
      <c r="L8" s="26">
        <v>12333</v>
      </c>
      <c r="M8" s="26">
        <v>1797</v>
      </c>
      <c r="N8" s="26">
        <v>35202</v>
      </c>
      <c r="O8" s="26">
        <v>1760.1</v>
      </c>
      <c r="P8" s="26">
        <v>500</v>
      </c>
      <c r="Q8" s="26">
        <v>37462.1</v>
      </c>
      <c r="R8" s="2" t="s">
        <v>71</v>
      </c>
      <c r="S8" s="1" t="s">
        <v>72</v>
      </c>
      <c r="T8" s="2" t="s">
        <v>30</v>
      </c>
      <c r="U8">
        <f>IF(Table1[[#This Row],[Return_Flag]]="Yes",1,0)</f>
        <v>0</v>
      </c>
    </row>
    <row r="9" spans="1:21" ht="14">
      <c r="A9" s="3">
        <v>1008</v>
      </c>
      <c r="B9" s="6">
        <v>45793</v>
      </c>
      <c r="C9" s="4" t="s">
        <v>73</v>
      </c>
      <c r="D9" s="4" t="s">
        <v>32</v>
      </c>
      <c r="E9" s="4" t="s">
        <v>33</v>
      </c>
      <c r="F9" s="4" t="s">
        <v>34</v>
      </c>
      <c r="G9" s="4" t="s">
        <v>74</v>
      </c>
      <c r="H9" s="4" t="s">
        <v>75</v>
      </c>
      <c r="I9" s="4" t="s">
        <v>76</v>
      </c>
      <c r="J9" s="4" t="s">
        <v>46</v>
      </c>
      <c r="K9" s="3">
        <v>3</v>
      </c>
      <c r="L9" s="27">
        <v>52589</v>
      </c>
      <c r="M9" s="27">
        <v>2650</v>
      </c>
      <c r="N9" s="27">
        <v>155117</v>
      </c>
      <c r="O9" s="27">
        <v>7755.85</v>
      </c>
      <c r="P9" s="27">
        <v>150</v>
      </c>
      <c r="Q9" s="27">
        <v>163022.9</v>
      </c>
      <c r="R9" s="4" t="s">
        <v>71</v>
      </c>
      <c r="S9" s="1" t="s">
        <v>77</v>
      </c>
      <c r="T9" s="4" t="s">
        <v>30</v>
      </c>
      <c r="U9">
        <f>IF(Table1[[#This Row],[Return_Flag]]="Yes",1,0)</f>
        <v>0</v>
      </c>
    </row>
    <row r="10" spans="1:21" ht="14">
      <c r="A10" s="1">
        <v>1009</v>
      </c>
      <c r="B10" s="5">
        <v>45496</v>
      </c>
      <c r="C10" s="2" t="s">
        <v>78</v>
      </c>
      <c r="D10" s="2" t="s">
        <v>21</v>
      </c>
      <c r="E10" s="2" t="s">
        <v>56</v>
      </c>
      <c r="F10" s="2" t="s">
        <v>49</v>
      </c>
      <c r="G10" s="2" t="s">
        <v>50</v>
      </c>
      <c r="H10" s="2" t="s">
        <v>79</v>
      </c>
      <c r="I10" s="2" t="s">
        <v>80</v>
      </c>
      <c r="J10" s="2" t="s">
        <v>65</v>
      </c>
      <c r="K10" s="1">
        <v>4</v>
      </c>
      <c r="L10" s="26">
        <v>68341</v>
      </c>
      <c r="M10" s="26">
        <v>1408</v>
      </c>
      <c r="N10" s="26">
        <v>271956</v>
      </c>
      <c r="O10" s="26">
        <v>13597.8</v>
      </c>
      <c r="P10" s="26">
        <v>500</v>
      </c>
      <c r="Q10" s="26">
        <v>286053.8</v>
      </c>
      <c r="R10" s="2" t="s">
        <v>39</v>
      </c>
      <c r="S10" s="5">
        <v>48356</v>
      </c>
      <c r="T10" s="2" t="s">
        <v>41</v>
      </c>
      <c r="U10">
        <f>IF(Table1[[#This Row],[Return_Flag]]="Yes",1,0)</f>
        <v>1</v>
      </c>
    </row>
    <row r="11" spans="1:21" ht="14">
      <c r="A11" s="3">
        <v>1010</v>
      </c>
      <c r="B11" s="6">
        <v>45853</v>
      </c>
      <c r="C11" s="4" t="s">
        <v>81</v>
      </c>
      <c r="D11" s="4" t="s">
        <v>32</v>
      </c>
      <c r="E11" s="4" t="s">
        <v>61</v>
      </c>
      <c r="F11" s="4" t="s">
        <v>49</v>
      </c>
      <c r="G11" s="4" t="s">
        <v>50</v>
      </c>
      <c r="H11" s="4" t="s">
        <v>82</v>
      </c>
      <c r="I11" s="4" t="s">
        <v>83</v>
      </c>
      <c r="J11" s="4" t="s">
        <v>27</v>
      </c>
      <c r="K11" s="3">
        <v>4</v>
      </c>
      <c r="L11" s="27">
        <v>68174</v>
      </c>
      <c r="M11" s="27">
        <v>529</v>
      </c>
      <c r="N11" s="27">
        <v>272167</v>
      </c>
      <c r="O11" s="27">
        <v>13608.35</v>
      </c>
      <c r="P11" s="27">
        <v>500</v>
      </c>
      <c r="Q11" s="27">
        <v>286275.40000000002</v>
      </c>
      <c r="R11" s="4" t="s">
        <v>28</v>
      </c>
      <c r="S11" s="5">
        <v>48721</v>
      </c>
      <c r="T11" s="4" t="s">
        <v>30</v>
      </c>
      <c r="U11">
        <f>IF(Table1[[#This Row],[Return_Flag]]="Yes",1,0)</f>
        <v>0</v>
      </c>
    </row>
    <row r="12" spans="1:21" ht="14">
      <c r="A12" s="1">
        <v>1011</v>
      </c>
      <c r="B12" s="5">
        <v>45843</v>
      </c>
      <c r="C12" s="2" t="s">
        <v>84</v>
      </c>
      <c r="D12" s="2" t="s">
        <v>21</v>
      </c>
      <c r="E12" s="2" t="s">
        <v>56</v>
      </c>
      <c r="F12" s="2" t="s">
        <v>49</v>
      </c>
      <c r="G12" s="2" t="s">
        <v>68</v>
      </c>
      <c r="H12" s="2" t="s">
        <v>85</v>
      </c>
      <c r="I12" s="2" t="s">
        <v>86</v>
      </c>
      <c r="J12" s="2" t="s">
        <v>27</v>
      </c>
      <c r="K12" s="1">
        <v>2</v>
      </c>
      <c r="L12" s="26">
        <v>67154</v>
      </c>
      <c r="M12" s="26">
        <v>1693</v>
      </c>
      <c r="N12" s="26">
        <v>132615</v>
      </c>
      <c r="O12" s="26">
        <v>6630.75</v>
      </c>
      <c r="P12" s="26">
        <v>300</v>
      </c>
      <c r="Q12" s="26">
        <v>139545.79999999999</v>
      </c>
      <c r="R12" s="2" t="s">
        <v>39</v>
      </c>
      <c r="S12" s="1" t="s">
        <v>87</v>
      </c>
      <c r="T12" s="2" t="s">
        <v>41</v>
      </c>
      <c r="U12">
        <f>IF(Table1[[#This Row],[Return_Flag]]="Yes",1,0)</f>
        <v>1</v>
      </c>
    </row>
    <row r="13" spans="1:21" ht="14">
      <c r="A13" s="3">
        <v>1012</v>
      </c>
      <c r="B13" s="6">
        <v>45784</v>
      </c>
      <c r="C13" s="4" t="s">
        <v>88</v>
      </c>
      <c r="D13" s="4" t="s">
        <v>32</v>
      </c>
      <c r="E13" s="4" t="s">
        <v>22</v>
      </c>
      <c r="F13" s="4" t="s">
        <v>49</v>
      </c>
      <c r="G13" s="4" t="s">
        <v>68</v>
      </c>
      <c r="H13" s="4" t="s">
        <v>89</v>
      </c>
      <c r="I13" s="4" t="s">
        <v>90</v>
      </c>
      <c r="J13" s="4" t="s">
        <v>46</v>
      </c>
      <c r="K13" s="3">
        <v>3</v>
      </c>
      <c r="L13" s="27">
        <v>61050</v>
      </c>
      <c r="M13" s="27">
        <v>2457</v>
      </c>
      <c r="N13" s="27">
        <v>180693</v>
      </c>
      <c r="O13" s="27">
        <v>9034.65</v>
      </c>
      <c r="P13" s="27">
        <v>100</v>
      </c>
      <c r="Q13" s="27">
        <v>189827.7</v>
      </c>
      <c r="R13" s="4" t="s">
        <v>71</v>
      </c>
      <c r="S13" s="1" t="s">
        <v>91</v>
      </c>
      <c r="T13" s="4" t="s">
        <v>30</v>
      </c>
      <c r="U13">
        <f>IF(Table1[[#This Row],[Return_Flag]]="Yes",1,0)</f>
        <v>0</v>
      </c>
    </row>
    <row r="14" spans="1:21" ht="14">
      <c r="A14" s="1">
        <v>1013</v>
      </c>
      <c r="B14" s="5">
        <v>45355</v>
      </c>
      <c r="C14" s="2" t="s">
        <v>92</v>
      </c>
      <c r="D14" s="2" t="s">
        <v>21</v>
      </c>
      <c r="E14" s="2" t="s">
        <v>22</v>
      </c>
      <c r="F14" s="2" t="s">
        <v>34</v>
      </c>
      <c r="G14" s="2" t="s">
        <v>74</v>
      </c>
      <c r="H14" s="2" t="s">
        <v>93</v>
      </c>
      <c r="I14" s="2" t="s">
        <v>94</v>
      </c>
      <c r="J14" s="2" t="s">
        <v>38</v>
      </c>
      <c r="K14" s="1">
        <v>1</v>
      </c>
      <c r="L14" s="26">
        <v>11909</v>
      </c>
      <c r="M14" s="26">
        <v>68</v>
      </c>
      <c r="N14" s="26">
        <v>11841</v>
      </c>
      <c r="O14" s="26">
        <v>592.04999999999995</v>
      </c>
      <c r="P14" s="26">
        <v>300</v>
      </c>
      <c r="Q14" s="26">
        <v>12733.05</v>
      </c>
      <c r="R14" s="2" t="s">
        <v>71</v>
      </c>
      <c r="S14" s="1" t="s">
        <v>95</v>
      </c>
      <c r="T14" s="2" t="s">
        <v>30</v>
      </c>
      <c r="U14">
        <f>IF(Table1[[#This Row],[Return_Flag]]="Yes",1,0)</f>
        <v>0</v>
      </c>
    </row>
    <row r="15" spans="1:21" ht="14">
      <c r="A15" s="3">
        <v>1014</v>
      </c>
      <c r="B15" s="6">
        <v>45404</v>
      </c>
      <c r="C15" s="4" t="s">
        <v>96</v>
      </c>
      <c r="D15" s="4" t="s">
        <v>32</v>
      </c>
      <c r="E15" s="4" t="s">
        <v>56</v>
      </c>
      <c r="F15" s="4" t="s">
        <v>23</v>
      </c>
      <c r="G15" s="4" t="s">
        <v>24</v>
      </c>
      <c r="H15" s="4" t="s">
        <v>97</v>
      </c>
      <c r="I15" s="4" t="s">
        <v>98</v>
      </c>
      <c r="J15" s="4" t="s">
        <v>65</v>
      </c>
      <c r="K15" s="3">
        <v>3</v>
      </c>
      <c r="L15" s="27">
        <v>10111</v>
      </c>
      <c r="M15" s="27">
        <v>685</v>
      </c>
      <c r="N15" s="27">
        <v>29648</v>
      </c>
      <c r="O15" s="27">
        <v>1482.4</v>
      </c>
      <c r="P15" s="27">
        <v>150</v>
      </c>
      <c r="Q15" s="27">
        <v>31280.400000000001</v>
      </c>
      <c r="R15" s="4" t="s">
        <v>39</v>
      </c>
      <c r="S15" s="1" t="s">
        <v>99</v>
      </c>
      <c r="T15" s="4" t="s">
        <v>41</v>
      </c>
      <c r="U15">
        <f>IF(Table1[[#This Row],[Return_Flag]]="Yes",1,0)</f>
        <v>1</v>
      </c>
    </row>
    <row r="16" spans="1:21" ht="14">
      <c r="A16" s="1">
        <v>1015</v>
      </c>
      <c r="B16" s="5">
        <v>46020</v>
      </c>
      <c r="C16" s="2" t="s">
        <v>100</v>
      </c>
      <c r="D16" s="2" t="s">
        <v>21</v>
      </c>
      <c r="E16" s="2" t="s">
        <v>61</v>
      </c>
      <c r="F16" s="2" t="s">
        <v>34</v>
      </c>
      <c r="G16" s="2" t="s">
        <v>101</v>
      </c>
      <c r="H16" s="2" t="s">
        <v>102</v>
      </c>
      <c r="I16" s="2" t="s">
        <v>103</v>
      </c>
      <c r="J16" s="2" t="s">
        <v>38</v>
      </c>
      <c r="K16" s="1">
        <v>3</v>
      </c>
      <c r="L16" s="26">
        <v>66076</v>
      </c>
      <c r="M16" s="26">
        <v>1940</v>
      </c>
      <c r="N16" s="26">
        <v>196288</v>
      </c>
      <c r="O16" s="26">
        <v>9814.4</v>
      </c>
      <c r="P16" s="26">
        <v>100</v>
      </c>
      <c r="Q16" s="26">
        <v>206202.4</v>
      </c>
      <c r="R16" s="2" t="s">
        <v>71</v>
      </c>
      <c r="S16" s="1" t="s">
        <v>104</v>
      </c>
      <c r="T16" s="2" t="s">
        <v>30</v>
      </c>
      <c r="U16">
        <f>IF(Table1[[#This Row],[Return_Flag]]="Yes",1,0)</f>
        <v>0</v>
      </c>
    </row>
    <row r="17" spans="1:21" ht="14">
      <c r="A17" s="3">
        <v>1016</v>
      </c>
      <c r="B17" s="6">
        <v>45841</v>
      </c>
      <c r="C17" s="4" t="s">
        <v>105</v>
      </c>
      <c r="D17" s="4" t="s">
        <v>32</v>
      </c>
      <c r="E17" s="4" t="s">
        <v>22</v>
      </c>
      <c r="F17" s="4" t="s">
        <v>34</v>
      </c>
      <c r="G17" s="4" t="s">
        <v>74</v>
      </c>
      <c r="H17" s="4" t="s">
        <v>106</v>
      </c>
      <c r="I17" s="4" t="s">
        <v>107</v>
      </c>
      <c r="J17" s="4" t="s">
        <v>27</v>
      </c>
      <c r="K17" s="3">
        <v>3</v>
      </c>
      <c r="L17" s="27">
        <v>67861</v>
      </c>
      <c r="M17" s="27">
        <v>856</v>
      </c>
      <c r="N17" s="27">
        <v>202727</v>
      </c>
      <c r="O17" s="27">
        <v>10136.35</v>
      </c>
      <c r="P17" s="27">
        <v>500</v>
      </c>
      <c r="Q17" s="27">
        <v>213363.4</v>
      </c>
      <c r="R17" s="4" t="s">
        <v>39</v>
      </c>
      <c r="S17" s="1" t="s">
        <v>108</v>
      </c>
      <c r="T17" s="4" t="s">
        <v>41</v>
      </c>
      <c r="U17">
        <f>IF(Table1[[#This Row],[Return_Flag]]="Yes",1,0)</f>
        <v>1</v>
      </c>
    </row>
    <row r="18" spans="1:21" ht="14">
      <c r="A18" s="1">
        <v>1017</v>
      </c>
      <c r="B18" s="5">
        <v>45932</v>
      </c>
      <c r="C18" s="2" t="s">
        <v>109</v>
      </c>
      <c r="D18" s="2" t="s">
        <v>21</v>
      </c>
      <c r="E18" s="2" t="s">
        <v>22</v>
      </c>
      <c r="F18" s="2" t="s">
        <v>23</v>
      </c>
      <c r="G18" s="2" t="s">
        <v>43</v>
      </c>
      <c r="H18" s="2" t="s">
        <v>110</v>
      </c>
      <c r="I18" s="2" t="s">
        <v>111</v>
      </c>
      <c r="J18" s="2" t="s">
        <v>65</v>
      </c>
      <c r="K18" s="1">
        <v>2</v>
      </c>
      <c r="L18" s="26">
        <v>59414</v>
      </c>
      <c r="M18" s="26">
        <v>2886</v>
      </c>
      <c r="N18" s="26">
        <v>115942</v>
      </c>
      <c r="O18" s="26">
        <v>5797.1</v>
      </c>
      <c r="P18" s="26">
        <v>500</v>
      </c>
      <c r="Q18" s="26">
        <v>122239.1</v>
      </c>
      <c r="R18" s="2" t="s">
        <v>28</v>
      </c>
      <c r="S18" s="1" t="s">
        <v>112</v>
      </c>
      <c r="T18" s="2" t="s">
        <v>30</v>
      </c>
      <c r="U18">
        <f>IF(Table1[[#This Row],[Return_Flag]]="Yes",1,0)</f>
        <v>0</v>
      </c>
    </row>
    <row r="19" spans="1:21" ht="14">
      <c r="A19" s="3">
        <v>1018</v>
      </c>
      <c r="B19" s="6">
        <v>46003</v>
      </c>
      <c r="C19" s="4" t="s">
        <v>113</v>
      </c>
      <c r="D19" s="4" t="s">
        <v>21</v>
      </c>
      <c r="E19" s="4" t="s">
        <v>33</v>
      </c>
      <c r="F19" s="4" t="s">
        <v>34</v>
      </c>
      <c r="G19" s="4" t="s">
        <v>74</v>
      </c>
      <c r="H19" s="4" t="s">
        <v>114</v>
      </c>
      <c r="I19" s="4" t="s">
        <v>115</v>
      </c>
      <c r="J19" s="4" t="s">
        <v>65</v>
      </c>
      <c r="K19" s="3">
        <v>5</v>
      </c>
      <c r="L19" s="27">
        <v>5023</v>
      </c>
      <c r="M19" s="27">
        <v>1617</v>
      </c>
      <c r="N19" s="27">
        <v>23498</v>
      </c>
      <c r="O19" s="27">
        <v>1174.9000000000001</v>
      </c>
      <c r="P19" s="27">
        <v>500</v>
      </c>
      <c r="Q19" s="27">
        <v>25172.9</v>
      </c>
      <c r="R19" s="4" t="s">
        <v>39</v>
      </c>
      <c r="S19" s="1" t="s">
        <v>116</v>
      </c>
      <c r="T19" s="4" t="s">
        <v>41</v>
      </c>
      <c r="U19">
        <f>IF(Table1[[#This Row],[Return_Flag]]="Yes",1,0)</f>
        <v>1</v>
      </c>
    </row>
    <row r="20" spans="1:21" ht="14">
      <c r="A20" s="1">
        <v>1019</v>
      </c>
      <c r="B20" s="5">
        <v>45302</v>
      </c>
      <c r="C20" s="2" t="s">
        <v>117</v>
      </c>
      <c r="D20" s="2" t="s">
        <v>32</v>
      </c>
      <c r="E20" s="2" t="s">
        <v>61</v>
      </c>
      <c r="F20" s="2" t="s">
        <v>23</v>
      </c>
      <c r="G20" s="2" t="s">
        <v>118</v>
      </c>
      <c r="H20" s="2" t="s">
        <v>119</v>
      </c>
      <c r="I20" s="2" t="s">
        <v>120</v>
      </c>
      <c r="J20" s="2" t="s">
        <v>121</v>
      </c>
      <c r="K20" s="1">
        <v>3</v>
      </c>
      <c r="L20" s="26">
        <v>10270</v>
      </c>
      <c r="M20" s="26">
        <v>313</v>
      </c>
      <c r="N20" s="26">
        <v>30497</v>
      </c>
      <c r="O20" s="26">
        <v>1524.85</v>
      </c>
      <c r="P20" s="26">
        <v>200</v>
      </c>
      <c r="Q20" s="26">
        <v>32221.85</v>
      </c>
      <c r="R20" s="2" t="s">
        <v>39</v>
      </c>
      <c r="S20" s="1" t="s">
        <v>122</v>
      </c>
      <c r="T20" s="2" t="s">
        <v>41</v>
      </c>
      <c r="U20">
        <f>IF(Table1[[#This Row],[Return_Flag]]="Yes",1,0)</f>
        <v>1</v>
      </c>
    </row>
    <row r="21" spans="1:21" ht="14">
      <c r="A21" s="3">
        <v>1020</v>
      </c>
      <c r="B21" s="6">
        <v>45550</v>
      </c>
      <c r="C21" s="4" t="s">
        <v>123</v>
      </c>
      <c r="D21" s="4" t="s">
        <v>32</v>
      </c>
      <c r="E21" s="4" t="s">
        <v>61</v>
      </c>
      <c r="F21" s="4" t="s">
        <v>23</v>
      </c>
      <c r="G21" s="4" t="s">
        <v>43</v>
      </c>
      <c r="H21" s="4" t="s">
        <v>124</v>
      </c>
      <c r="I21" s="4" t="s">
        <v>125</v>
      </c>
      <c r="J21" s="4" t="s">
        <v>126</v>
      </c>
      <c r="K21" s="3">
        <v>1</v>
      </c>
      <c r="L21" s="27">
        <v>29520</v>
      </c>
      <c r="M21" s="27">
        <v>2335</v>
      </c>
      <c r="N21" s="27">
        <v>27185</v>
      </c>
      <c r="O21" s="27">
        <v>1359.25</v>
      </c>
      <c r="P21" s="27">
        <v>300</v>
      </c>
      <c r="Q21" s="27">
        <v>28844.25</v>
      </c>
      <c r="R21" s="4" t="s">
        <v>71</v>
      </c>
      <c r="S21" s="1" t="s">
        <v>127</v>
      </c>
      <c r="T21" s="4" t="s">
        <v>30</v>
      </c>
      <c r="U21">
        <f>IF(Table1[[#This Row],[Return_Flag]]="Yes",1,0)</f>
        <v>0</v>
      </c>
    </row>
    <row r="22" spans="1:21" ht="14">
      <c r="A22" s="1">
        <v>1021</v>
      </c>
      <c r="B22" s="5">
        <v>45647</v>
      </c>
      <c r="C22" s="2" t="s">
        <v>128</v>
      </c>
      <c r="D22" s="2" t="s">
        <v>21</v>
      </c>
      <c r="E22" s="2" t="s">
        <v>56</v>
      </c>
      <c r="F22" s="2" t="s">
        <v>23</v>
      </c>
      <c r="G22" s="2" t="s">
        <v>43</v>
      </c>
      <c r="H22" s="2" t="s">
        <v>129</v>
      </c>
      <c r="I22" s="2" t="s">
        <v>130</v>
      </c>
      <c r="J22" s="2" t="s">
        <v>121</v>
      </c>
      <c r="K22" s="1">
        <v>4</v>
      </c>
      <c r="L22" s="26">
        <v>26443</v>
      </c>
      <c r="M22" s="26">
        <v>2016</v>
      </c>
      <c r="N22" s="26">
        <v>103756</v>
      </c>
      <c r="O22" s="26">
        <v>5187.8</v>
      </c>
      <c r="P22" s="26">
        <v>100</v>
      </c>
      <c r="Q22" s="26">
        <v>109043.8</v>
      </c>
      <c r="R22" s="2" t="s">
        <v>28</v>
      </c>
      <c r="S22" s="1" t="s">
        <v>131</v>
      </c>
      <c r="T22" s="2" t="s">
        <v>30</v>
      </c>
      <c r="U22">
        <f>IF(Table1[[#This Row],[Return_Flag]]="Yes",1,0)</f>
        <v>0</v>
      </c>
    </row>
    <row r="23" spans="1:21" ht="14">
      <c r="A23" s="3">
        <v>1022</v>
      </c>
      <c r="B23" s="6">
        <v>45803</v>
      </c>
      <c r="C23" s="4" t="s">
        <v>132</v>
      </c>
      <c r="D23" s="4" t="s">
        <v>21</v>
      </c>
      <c r="E23" s="4" t="s">
        <v>22</v>
      </c>
      <c r="F23" s="4" t="s">
        <v>34</v>
      </c>
      <c r="G23" s="4" t="s">
        <v>101</v>
      </c>
      <c r="H23" s="4" t="s">
        <v>133</v>
      </c>
      <c r="I23" s="4" t="s">
        <v>134</v>
      </c>
      <c r="J23" s="4" t="s">
        <v>38</v>
      </c>
      <c r="K23" s="3">
        <v>4</v>
      </c>
      <c r="L23" s="27">
        <v>37877</v>
      </c>
      <c r="M23" s="27">
        <v>74</v>
      </c>
      <c r="N23" s="27">
        <v>151434</v>
      </c>
      <c r="O23" s="27">
        <v>7571.7</v>
      </c>
      <c r="P23" s="27">
        <v>150</v>
      </c>
      <c r="Q23" s="27">
        <v>159155.70000000001</v>
      </c>
      <c r="R23" s="4" t="s">
        <v>71</v>
      </c>
      <c r="S23" s="1" t="s">
        <v>135</v>
      </c>
      <c r="T23" s="4" t="s">
        <v>30</v>
      </c>
      <c r="U23">
        <f>IF(Table1[[#This Row],[Return_Flag]]="Yes",1,0)</f>
        <v>0</v>
      </c>
    </row>
    <row r="24" spans="1:21" ht="14">
      <c r="A24" s="1">
        <v>1023</v>
      </c>
      <c r="B24" s="5">
        <v>45731</v>
      </c>
      <c r="C24" s="2" t="s">
        <v>136</v>
      </c>
      <c r="D24" s="2" t="s">
        <v>21</v>
      </c>
      <c r="E24" s="2" t="s">
        <v>22</v>
      </c>
      <c r="F24" s="2" t="s">
        <v>34</v>
      </c>
      <c r="G24" s="2" t="s">
        <v>101</v>
      </c>
      <c r="H24" s="2" t="s">
        <v>137</v>
      </c>
      <c r="I24" s="2" t="s">
        <v>138</v>
      </c>
      <c r="J24" s="2" t="s">
        <v>27</v>
      </c>
      <c r="K24" s="1">
        <v>1</v>
      </c>
      <c r="L24" s="26">
        <v>50706</v>
      </c>
      <c r="M24" s="26">
        <v>2243</v>
      </c>
      <c r="N24" s="26">
        <v>48463</v>
      </c>
      <c r="O24" s="26">
        <v>2423.15</v>
      </c>
      <c r="P24" s="26">
        <v>200</v>
      </c>
      <c r="Q24" s="26">
        <v>51086.15</v>
      </c>
      <c r="R24" s="2" t="s">
        <v>28</v>
      </c>
      <c r="S24" s="1" t="s">
        <v>139</v>
      </c>
      <c r="T24" s="2" t="s">
        <v>30</v>
      </c>
      <c r="U24">
        <f>IF(Table1[[#This Row],[Return_Flag]]="Yes",1,0)</f>
        <v>0</v>
      </c>
    </row>
    <row r="25" spans="1:21" ht="14">
      <c r="A25" s="3">
        <v>1024</v>
      </c>
      <c r="B25" s="6">
        <v>45598</v>
      </c>
      <c r="C25" s="4" t="s">
        <v>140</v>
      </c>
      <c r="D25" s="4" t="s">
        <v>21</v>
      </c>
      <c r="E25" s="4" t="s">
        <v>56</v>
      </c>
      <c r="F25" s="4" t="s">
        <v>23</v>
      </c>
      <c r="G25" s="4" t="s">
        <v>118</v>
      </c>
      <c r="H25" s="4" t="s">
        <v>141</v>
      </c>
      <c r="I25" s="4" t="s">
        <v>142</v>
      </c>
      <c r="J25" s="4" t="s">
        <v>38</v>
      </c>
      <c r="K25" s="3">
        <v>2</v>
      </c>
      <c r="L25" s="27">
        <v>28914</v>
      </c>
      <c r="M25" s="27">
        <v>1097</v>
      </c>
      <c r="N25" s="27">
        <v>56731</v>
      </c>
      <c r="O25" s="27">
        <v>2836.55</v>
      </c>
      <c r="P25" s="27">
        <v>200</v>
      </c>
      <c r="Q25" s="27">
        <v>59767.55</v>
      </c>
      <c r="R25" s="4" t="s">
        <v>28</v>
      </c>
      <c r="S25" s="1" t="s">
        <v>143</v>
      </c>
      <c r="T25" s="4" t="s">
        <v>30</v>
      </c>
      <c r="U25">
        <f>IF(Table1[[#This Row],[Return_Flag]]="Yes",1,0)</f>
        <v>0</v>
      </c>
    </row>
    <row r="26" spans="1:21" ht="14">
      <c r="A26" s="1">
        <v>1025</v>
      </c>
      <c r="B26" s="5">
        <v>45640</v>
      </c>
      <c r="C26" s="2" t="s">
        <v>144</v>
      </c>
      <c r="D26" s="2" t="s">
        <v>32</v>
      </c>
      <c r="E26" s="2" t="s">
        <v>56</v>
      </c>
      <c r="F26" s="2" t="s">
        <v>34</v>
      </c>
      <c r="G26" s="2" t="s">
        <v>74</v>
      </c>
      <c r="H26" s="2" t="s">
        <v>145</v>
      </c>
      <c r="I26" s="2" t="s">
        <v>146</v>
      </c>
      <c r="J26" s="2" t="s">
        <v>27</v>
      </c>
      <c r="K26" s="1">
        <v>5</v>
      </c>
      <c r="L26" s="26">
        <v>65067</v>
      </c>
      <c r="M26" s="26">
        <v>554</v>
      </c>
      <c r="N26" s="26">
        <v>324781</v>
      </c>
      <c r="O26" s="26">
        <v>16239.05</v>
      </c>
      <c r="P26" s="26">
        <v>500</v>
      </c>
      <c r="Q26" s="26">
        <v>341520.1</v>
      </c>
      <c r="R26" s="2" t="s">
        <v>28</v>
      </c>
      <c r="S26" s="1" t="s">
        <v>147</v>
      </c>
      <c r="T26" s="2" t="s">
        <v>30</v>
      </c>
      <c r="U26">
        <f>IF(Table1[[#This Row],[Return_Flag]]="Yes",1,0)</f>
        <v>0</v>
      </c>
    </row>
    <row r="27" spans="1:21" ht="14">
      <c r="A27" s="3">
        <v>1026</v>
      </c>
      <c r="B27" s="6">
        <v>45708</v>
      </c>
      <c r="C27" s="4" t="s">
        <v>148</v>
      </c>
      <c r="D27" s="4" t="s">
        <v>21</v>
      </c>
      <c r="E27" s="4" t="s">
        <v>33</v>
      </c>
      <c r="F27" s="4" t="s">
        <v>34</v>
      </c>
      <c r="G27" s="4" t="s">
        <v>74</v>
      </c>
      <c r="H27" s="4" t="s">
        <v>149</v>
      </c>
      <c r="I27" s="4" t="s">
        <v>150</v>
      </c>
      <c r="J27" s="4" t="s">
        <v>121</v>
      </c>
      <c r="K27" s="3">
        <v>2</v>
      </c>
      <c r="L27" s="27">
        <v>45682</v>
      </c>
      <c r="M27" s="27">
        <v>469</v>
      </c>
      <c r="N27" s="27">
        <v>90895</v>
      </c>
      <c r="O27" s="27">
        <v>4544.75</v>
      </c>
      <c r="P27" s="27">
        <v>500</v>
      </c>
      <c r="Q27" s="27">
        <v>95939.75</v>
      </c>
      <c r="R27" s="4" t="s">
        <v>28</v>
      </c>
      <c r="S27" s="1" t="s">
        <v>151</v>
      </c>
      <c r="T27" s="4" t="s">
        <v>30</v>
      </c>
      <c r="U27">
        <f>IF(Table1[[#This Row],[Return_Flag]]="Yes",1,0)</f>
        <v>0</v>
      </c>
    </row>
    <row r="28" spans="1:21" ht="14">
      <c r="A28" s="1">
        <v>1027</v>
      </c>
      <c r="B28" s="5">
        <v>45855</v>
      </c>
      <c r="C28" s="2" t="s">
        <v>152</v>
      </c>
      <c r="D28" s="2" t="s">
        <v>32</v>
      </c>
      <c r="E28" s="2" t="s">
        <v>61</v>
      </c>
      <c r="F28" s="2" t="s">
        <v>49</v>
      </c>
      <c r="G28" s="2" t="s">
        <v>50</v>
      </c>
      <c r="H28" s="2" t="s">
        <v>153</v>
      </c>
      <c r="I28" s="2" t="s">
        <v>154</v>
      </c>
      <c r="J28" s="2" t="s">
        <v>38</v>
      </c>
      <c r="K28" s="1">
        <v>3</v>
      </c>
      <c r="L28" s="26">
        <v>48827</v>
      </c>
      <c r="M28" s="26">
        <v>1210</v>
      </c>
      <c r="N28" s="26">
        <v>145271</v>
      </c>
      <c r="O28" s="26">
        <v>7263.55</v>
      </c>
      <c r="P28" s="26">
        <v>500</v>
      </c>
      <c r="Q28" s="26">
        <v>153034.6</v>
      </c>
      <c r="R28" s="2" t="s">
        <v>28</v>
      </c>
      <c r="S28" s="1" t="s">
        <v>155</v>
      </c>
      <c r="T28" s="2" t="s">
        <v>30</v>
      </c>
      <c r="U28">
        <f>IF(Table1[[#This Row],[Return_Flag]]="Yes",1,0)</f>
        <v>0</v>
      </c>
    </row>
    <row r="29" spans="1:21" ht="14">
      <c r="A29" s="3">
        <v>1028</v>
      </c>
      <c r="B29" s="6">
        <v>45402</v>
      </c>
      <c r="C29" s="4" t="s">
        <v>156</v>
      </c>
      <c r="D29" s="4" t="s">
        <v>32</v>
      </c>
      <c r="E29" s="4" t="s">
        <v>22</v>
      </c>
      <c r="F29" s="4" t="s">
        <v>34</v>
      </c>
      <c r="G29" s="4" t="s">
        <v>74</v>
      </c>
      <c r="H29" s="4" t="s">
        <v>157</v>
      </c>
      <c r="I29" s="4" t="s">
        <v>158</v>
      </c>
      <c r="J29" s="4" t="s">
        <v>126</v>
      </c>
      <c r="K29" s="3">
        <v>5</v>
      </c>
      <c r="L29" s="27">
        <v>2906</v>
      </c>
      <c r="M29" s="27">
        <v>375</v>
      </c>
      <c r="N29" s="27">
        <v>14155</v>
      </c>
      <c r="O29" s="27">
        <v>707.75</v>
      </c>
      <c r="P29" s="27">
        <v>300</v>
      </c>
      <c r="Q29" s="27">
        <v>15162.75</v>
      </c>
      <c r="R29" s="4" t="s">
        <v>71</v>
      </c>
      <c r="S29" s="1" t="s">
        <v>159</v>
      </c>
      <c r="T29" s="4" t="s">
        <v>30</v>
      </c>
      <c r="U29">
        <f>IF(Table1[[#This Row],[Return_Flag]]="Yes",1,0)</f>
        <v>0</v>
      </c>
    </row>
    <row r="30" spans="1:21" ht="14">
      <c r="A30" s="1">
        <v>1029</v>
      </c>
      <c r="B30" s="5">
        <v>45892</v>
      </c>
      <c r="C30" s="2" t="s">
        <v>160</v>
      </c>
      <c r="D30" s="2" t="s">
        <v>32</v>
      </c>
      <c r="E30" s="2" t="s">
        <v>61</v>
      </c>
      <c r="F30" s="2" t="s">
        <v>23</v>
      </c>
      <c r="G30" s="2" t="s">
        <v>118</v>
      </c>
      <c r="H30" s="2" t="s">
        <v>161</v>
      </c>
      <c r="I30" s="2" t="s">
        <v>162</v>
      </c>
      <c r="J30" s="2" t="s">
        <v>53</v>
      </c>
      <c r="K30" s="1">
        <v>4</v>
      </c>
      <c r="L30" s="26">
        <v>22939</v>
      </c>
      <c r="M30" s="26">
        <v>2788</v>
      </c>
      <c r="N30" s="26">
        <v>88968</v>
      </c>
      <c r="O30" s="26">
        <v>4448.3999999999996</v>
      </c>
      <c r="P30" s="26">
        <v>150</v>
      </c>
      <c r="Q30" s="26">
        <v>93566.399999999994</v>
      </c>
      <c r="R30" s="2" t="s">
        <v>71</v>
      </c>
      <c r="S30" s="1" t="s">
        <v>163</v>
      </c>
      <c r="T30" s="2" t="s">
        <v>30</v>
      </c>
      <c r="U30">
        <f>IF(Table1[[#This Row],[Return_Flag]]="Yes",1,0)</f>
        <v>0</v>
      </c>
    </row>
    <row r="31" spans="1:21" ht="14">
      <c r="A31" s="3">
        <v>1030</v>
      </c>
      <c r="B31" s="6">
        <v>45907</v>
      </c>
      <c r="C31" s="4" t="s">
        <v>164</v>
      </c>
      <c r="D31" s="4" t="s">
        <v>21</v>
      </c>
      <c r="E31" s="4" t="s">
        <v>33</v>
      </c>
      <c r="F31" s="4" t="s">
        <v>49</v>
      </c>
      <c r="G31" s="4" t="s">
        <v>62</v>
      </c>
      <c r="H31" s="4" t="s">
        <v>165</v>
      </c>
      <c r="I31" s="4" t="s">
        <v>166</v>
      </c>
      <c r="J31" s="4" t="s">
        <v>27</v>
      </c>
      <c r="K31" s="3">
        <v>4</v>
      </c>
      <c r="L31" s="27">
        <v>42216</v>
      </c>
      <c r="M31" s="27">
        <v>410</v>
      </c>
      <c r="N31" s="27">
        <v>168454</v>
      </c>
      <c r="O31" s="27">
        <v>8422.7000000000007</v>
      </c>
      <c r="P31" s="27">
        <v>150</v>
      </c>
      <c r="Q31" s="27">
        <v>177026.7</v>
      </c>
      <c r="R31" s="4" t="s">
        <v>28</v>
      </c>
      <c r="S31" s="1" t="s">
        <v>167</v>
      </c>
      <c r="T31" s="4" t="s">
        <v>30</v>
      </c>
      <c r="U31">
        <f>IF(Table1[[#This Row],[Return_Flag]]="Yes",1,0)</f>
        <v>0</v>
      </c>
    </row>
    <row r="32" spans="1:21" ht="14">
      <c r="A32" s="1">
        <v>1031</v>
      </c>
      <c r="B32" s="5">
        <v>45597</v>
      </c>
      <c r="C32" s="2" t="s">
        <v>168</v>
      </c>
      <c r="D32" s="2" t="s">
        <v>32</v>
      </c>
      <c r="E32" s="2" t="s">
        <v>33</v>
      </c>
      <c r="F32" s="2" t="s">
        <v>49</v>
      </c>
      <c r="G32" s="2" t="s">
        <v>68</v>
      </c>
      <c r="H32" s="2" t="s">
        <v>169</v>
      </c>
      <c r="I32" s="2" t="s">
        <v>170</v>
      </c>
      <c r="J32" s="2" t="s">
        <v>38</v>
      </c>
      <c r="K32" s="1">
        <v>3</v>
      </c>
      <c r="L32" s="26">
        <v>59962</v>
      </c>
      <c r="M32" s="26">
        <v>1602</v>
      </c>
      <c r="N32" s="26">
        <v>178284</v>
      </c>
      <c r="O32" s="26">
        <v>8914.2000000000007</v>
      </c>
      <c r="P32" s="26">
        <v>200</v>
      </c>
      <c r="Q32" s="26">
        <v>187398.2</v>
      </c>
      <c r="R32" s="2" t="s">
        <v>39</v>
      </c>
      <c r="S32" s="1" t="s">
        <v>171</v>
      </c>
      <c r="T32" s="2" t="s">
        <v>41</v>
      </c>
      <c r="U32">
        <f>IF(Table1[[#This Row],[Return_Flag]]="Yes",1,0)</f>
        <v>1</v>
      </c>
    </row>
    <row r="33" spans="1:21" ht="14">
      <c r="A33" s="3">
        <v>1032</v>
      </c>
      <c r="B33" s="6">
        <v>45847</v>
      </c>
      <c r="C33" s="4" t="s">
        <v>172</v>
      </c>
      <c r="D33" s="4" t="s">
        <v>32</v>
      </c>
      <c r="E33" s="4" t="s">
        <v>22</v>
      </c>
      <c r="F33" s="4" t="s">
        <v>23</v>
      </c>
      <c r="G33" s="4" t="s">
        <v>24</v>
      </c>
      <c r="H33" s="4" t="s">
        <v>173</v>
      </c>
      <c r="I33" s="4" t="s">
        <v>174</v>
      </c>
      <c r="J33" s="4" t="s">
        <v>38</v>
      </c>
      <c r="K33" s="3">
        <v>2</v>
      </c>
      <c r="L33" s="27">
        <v>62462</v>
      </c>
      <c r="M33" s="27">
        <v>2710</v>
      </c>
      <c r="N33" s="27">
        <v>122214</v>
      </c>
      <c r="O33" s="27">
        <v>6110.7</v>
      </c>
      <c r="P33" s="27">
        <v>200</v>
      </c>
      <c r="Q33" s="27">
        <v>128524.7</v>
      </c>
      <c r="R33" s="4" t="s">
        <v>39</v>
      </c>
      <c r="S33" s="1" t="s">
        <v>175</v>
      </c>
      <c r="T33" s="4" t="s">
        <v>41</v>
      </c>
      <c r="U33">
        <f>IF(Table1[[#This Row],[Return_Flag]]="Yes",1,0)</f>
        <v>1</v>
      </c>
    </row>
    <row r="34" spans="1:21" ht="14">
      <c r="A34" s="1">
        <v>1033</v>
      </c>
      <c r="B34" s="5">
        <v>45495</v>
      </c>
      <c r="C34" s="2" t="s">
        <v>176</v>
      </c>
      <c r="D34" s="2" t="s">
        <v>21</v>
      </c>
      <c r="E34" s="2" t="s">
        <v>22</v>
      </c>
      <c r="F34" s="2" t="s">
        <v>34</v>
      </c>
      <c r="G34" s="2" t="s">
        <v>74</v>
      </c>
      <c r="H34" s="2" t="s">
        <v>177</v>
      </c>
      <c r="I34" s="2" t="s">
        <v>178</v>
      </c>
      <c r="J34" s="2" t="s">
        <v>53</v>
      </c>
      <c r="K34" s="1">
        <v>3</v>
      </c>
      <c r="L34" s="26">
        <v>12719</v>
      </c>
      <c r="M34" s="26">
        <v>1834</v>
      </c>
      <c r="N34" s="26">
        <v>36323</v>
      </c>
      <c r="O34" s="26">
        <v>1816.15</v>
      </c>
      <c r="P34" s="26">
        <v>100</v>
      </c>
      <c r="Q34" s="26">
        <v>38239.15</v>
      </c>
      <c r="R34" s="2" t="s">
        <v>28</v>
      </c>
      <c r="S34" s="1" t="s">
        <v>179</v>
      </c>
      <c r="T34" s="2" t="s">
        <v>30</v>
      </c>
      <c r="U34">
        <f>IF(Table1[[#This Row],[Return_Flag]]="Yes",1,0)</f>
        <v>0</v>
      </c>
    </row>
    <row r="35" spans="1:21" ht="14">
      <c r="A35" s="3">
        <v>1034</v>
      </c>
      <c r="B35" s="6">
        <v>45576</v>
      </c>
      <c r="C35" s="4" t="s">
        <v>180</v>
      </c>
      <c r="D35" s="4" t="s">
        <v>32</v>
      </c>
      <c r="E35" s="4" t="s">
        <v>22</v>
      </c>
      <c r="F35" s="4" t="s">
        <v>34</v>
      </c>
      <c r="G35" s="4" t="s">
        <v>74</v>
      </c>
      <c r="H35" s="4" t="s">
        <v>181</v>
      </c>
      <c r="I35" s="4" t="s">
        <v>182</v>
      </c>
      <c r="J35" s="4" t="s">
        <v>126</v>
      </c>
      <c r="K35" s="3">
        <v>3</v>
      </c>
      <c r="L35" s="27">
        <v>40689</v>
      </c>
      <c r="M35" s="27">
        <v>1006</v>
      </c>
      <c r="N35" s="27">
        <v>121061</v>
      </c>
      <c r="O35" s="27">
        <v>6053.05</v>
      </c>
      <c r="P35" s="27">
        <v>200</v>
      </c>
      <c r="Q35" s="27">
        <v>127314.1</v>
      </c>
      <c r="R35" s="4" t="s">
        <v>71</v>
      </c>
      <c r="S35" s="1" t="s">
        <v>183</v>
      </c>
      <c r="T35" s="4" t="s">
        <v>30</v>
      </c>
      <c r="U35">
        <f>IF(Table1[[#This Row],[Return_Flag]]="Yes",1,0)</f>
        <v>0</v>
      </c>
    </row>
    <row r="36" spans="1:21" ht="14">
      <c r="A36" s="1">
        <v>1035</v>
      </c>
      <c r="B36" s="5">
        <v>45312</v>
      </c>
      <c r="C36" s="2" t="s">
        <v>184</v>
      </c>
      <c r="D36" s="2" t="s">
        <v>32</v>
      </c>
      <c r="E36" s="2" t="s">
        <v>56</v>
      </c>
      <c r="F36" s="2" t="s">
        <v>34</v>
      </c>
      <c r="G36" s="2" t="s">
        <v>74</v>
      </c>
      <c r="H36" s="2" t="s">
        <v>185</v>
      </c>
      <c r="I36" s="2" t="s">
        <v>186</v>
      </c>
      <c r="J36" s="2" t="s">
        <v>46</v>
      </c>
      <c r="K36" s="1">
        <v>3</v>
      </c>
      <c r="L36" s="26">
        <v>10295</v>
      </c>
      <c r="M36" s="26">
        <v>2986</v>
      </c>
      <c r="N36" s="26">
        <v>27899</v>
      </c>
      <c r="O36" s="26">
        <v>1394.95</v>
      </c>
      <c r="P36" s="26">
        <v>100</v>
      </c>
      <c r="Q36" s="26">
        <v>29393.95</v>
      </c>
      <c r="R36" s="2" t="s">
        <v>71</v>
      </c>
      <c r="S36" s="1" t="s">
        <v>187</v>
      </c>
      <c r="T36" s="2" t="s">
        <v>30</v>
      </c>
      <c r="U36">
        <f>IF(Table1[[#This Row],[Return_Flag]]="Yes",1,0)</f>
        <v>0</v>
      </c>
    </row>
    <row r="37" spans="1:21" ht="14">
      <c r="A37" s="3">
        <v>1036</v>
      </c>
      <c r="B37" s="6">
        <v>45689</v>
      </c>
      <c r="C37" s="4" t="s">
        <v>188</v>
      </c>
      <c r="D37" s="4" t="s">
        <v>32</v>
      </c>
      <c r="E37" s="4" t="s">
        <v>22</v>
      </c>
      <c r="F37" s="4" t="s">
        <v>34</v>
      </c>
      <c r="G37" s="4" t="s">
        <v>74</v>
      </c>
      <c r="H37" s="4" t="s">
        <v>189</v>
      </c>
      <c r="I37" s="4" t="s">
        <v>190</v>
      </c>
      <c r="J37" s="4" t="s">
        <v>46</v>
      </c>
      <c r="K37" s="3">
        <v>1</v>
      </c>
      <c r="L37" s="27">
        <v>66723</v>
      </c>
      <c r="M37" s="27">
        <v>1343</v>
      </c>
      <c r="N37" s="27">
        <v>65380</v>
      </c>
      <c r="O37" s="27">
        <v>3269</v>
      </c>
      <c r="P37" s="27">
        <v>100</v>
      </c>
      <c r="Q37" s="27">
        <v>68749</v>
      </c>
      <c r="R37" s="4" t="s">
        <v>28</v>
      </c>
      <c r="S37" s="1" t="s">
        <v>191</v>
      </c>
      <c r="T37" s="4" t="s">
        <v>30</v>
      </c>
      <c r="U37">
        <f>IF(Table1[[#This Row],[Return_Flag]]="Yes",1,0)</f>
        <v>0</v>
      </c>
    </row>
    <row r="38" spans="1:21" ht="14">
      <c r="A38" s="1">
        <v>1037</v>
      </c>
      <c r="B38" s="5">
        <v>45328</v>
      </c>
      <c r="C38" s="2" t="s">
        <v>192</v>
      </c>
      <c r="D38" s="2" t="s">
        <v>32</v>
      </c>
      <c r="E38" s="2" t="s">
        <v>22</v>
      </c>
      <c r="F38" s="2" t="s">
        <v>34</v>
      </c>
      <c r="G38" s="2" t="s">
        <v>35</v>
      </c>
      <c r="H38" s="2" t="s">
        <v>193</v>
      </c>
      <c r="I38" s="2" t="s">
        <v>194</v>
      </c>
      <c r="J38" s="2" t="s">
        <v>121</v>
      </c>
      <c r="K38" s="1">
        <v>1</v>
      </c>
      <c r="L38" s="26">
        <v>68417</v>
      </c>
      <c r="M38" s="26">
        <v>2465</v>
      </c>
      <c r="N38" s="26">
        <v>65952</v>
      </c>
      <c r="O38" s="26">
        <v>3297.6</v>
      </c>
      <c r="P38" s="26">
        <v>200</v>
      </c>
      <c r="Q38" s="26">
        <v>69449.600000000006</v>
      </c>
      <c r="R38" s="2" t="s">
        <v>71</v>
      </c>
      <c r="S38" s="1" t="s">
        <v>195</v>
      </c>
      <c r="T38" s="2" t="s">
        <v>30</v>
      </c>
      <c r="U38">
        <f>IF(Table1[[#This Row],[Return_Flag]]="Yes",1,0)</f>
        <v>0</v>
      </c>
    </row>
    <row r="39" spans="1:21" ht="14">
      <c r="A39" s="3">
        <v>1038</v>
      </c>
      <c r="B39" s="6">
        <v>45324</v>
      </c>
      <c r="C39" s="4" t="s">
        <v>196</v>
      </c>
      <c r="D39" s="4" t="s">
        <v>32</v>
      </c>
      <c r="E39" s="4" t="s">
        <v>33</v>
      </c>
      <c r="F39" s="4" t="s">
        <v>49</v>
      </c>
      <c r="G39" s="4" t="s">
        <v>68</v>
      </c>
      <c r="H39" s="4" t="s">
        <v>197</v>
      </c>
      <c r="I39" s="4" t="s">
        <v>198</v>
      </c>
      <c r="J39" s="4" t="s">
        <v>65</v>
      </c>
      <c r="K39" s="3">
        <v>5</v>
      </c>
      <c r="L39" s="27">
        <v>27926</v>
      </c>
      <c r="M39" s="27">
        <v>729</v>
      </c>
      <c r="N39" s="27">
        <v>138901</v>
      </c>
      <c r="O39" s="27">
        <v>6945.05</v>
      </c>
      <c r="P39" s="27">
        <v>200</v>
      </c>
      <c r="Q39" s="27">
        <v>146046.1</v>
      </c>
      <c r="R39" s="4" t="s">
        <v>39</v>
      </c>
      <c r="S39" s="1" t="s">
        <v>199</v>
      </c>
      <c r="T39" s="4" t="s">
        <v>41</v>
      </c>
      <c r="U39">
        <f>IF(Table1[[#This Row],[Return_Flag]]="Yes",1,0)</f>
        <v>1</v>
      </c>
    </row>
    <row r="40" spans="1:21" ht="14">
      <c r="A40" s="1">
        <v>1039</v>
      </c>
      <c r="B40" s="5">
        <v>45975</v>
      </c>
      <c r="C40" s="2" t="s">
        <v>200</v>
      </c>
      <c r="D40" s="2" t="s">
        <v>21</v>
      </c>
      <c r="E40" s="2" t="s">
        <v>61</v>
      </c>
      <c r="F40" s="2" t="s">
        <v>34</v>
      </c>
      <c r="G40" s="2" t="s">
        <v>74</v>
      </c>
      <c r="H40" s="2" t="s">
        <v>201</v>
      </c>
      <c r="I40" s="2" t="s">
        <v>202</v>
      </c>
      <c r="J40" s="2" t="s">
        <v>27</v>
      </c>
      <c r="K40" s="1">
        <v>4</v>
      </c>
      <c r="L40" s="26">
        <v>57383</v>
      </c>
      <c r="M40" s="26">
        <v>2249</v>
      </c>
      <c r="N40" s="26">
        <v>227283</v>
      </c>
      <c r="O40" s="26">
        <v>11364.15</v>
      </c>
      <c r="P40" s="26">
        <v>200</v>
      </c>
      <c r="Q40" s="26">
        <v>238847.2</v>
      </c>
      <c r="R40" s="2" t="s">
        <v>28</v>
      </c>
      <c r="S40" s="1" t="s">
        <v>203</v>
      </c>
      <c r="T40" s="2" t="s">
        <v>30</v>
      </c>
      <c r="U40">
        <f>IF(Table1[[#This Row],[Return_Flag]]="Yes",1,0)</f>
        <v>0</v>
      </c>
    </row>
    <row r="41" spans="1:21" ht="14">
      <c r="A41" s="3">
        <v>1040</v>
      </c>
      <c r="B41" s="6">
        <v>45902</v>
      </c>
      <c r="C41" s="4" t="s">
        <v>204</v>
      </c>
      <c r="D41" s="4" t="s">
        <v>32</v>
      </c>
      <c r="E41" s="4" t="s">
        <v>33</v>
      </c>
      <c r="F41" s="4" t="s">
        <v>23</v>
      </c>
      <c r="G41" s="4" t="s">
        <v>24</v>
      </c>
      <c r="H41" s="4" t="s">
        <v>205</v>
      </c>
      <c r="I41" s="4" t="s">
        <v>206</v>
      </c>
      <c r="J41" s="4" t="s">
        <v>65</v>
      </c>
      <c r="K41" s="3">
        <v>4</v>
      </c>
      <c r="L41" s="27">
        <v>4199</v>
      </c>
      <c r="M41" s="27">
        <v>2647</v>
      </c>
      <c r="N41" s="27">
        <v>14149</v>
      </c>
      <c r="O41" s="27">
        <v>707.45</v>
      </c>
      <c r="P41" s="27">
        <v>300</v>
      </c>
      <c r="Q41" s="27">
        <v>15156.45</v>
      </c>
      <c r="R41" s="4" t="s">
        <v>28</v>
      </c>
      <c r="S41" s="1" t="s">
        <v>207</v>
      </c>
      <c r="T41" s="4" t="s">
        <v>30</v>
      </c>
      <c r="U41">
        <f>IF(Table1[[#This Row],[Return_Flag]]="Yes",1,0)</f>
        <v>0</v>
      </c>
    </row>
    <row r="42" spans="1:21" ht="14">
      <c r="A42" s="1">
        <v>1041</v>
      </c>
      <c r="B42" s="5">
        <v>45655</v>
      </c>
      <c r="C42" s="2" t="s">
        <v>208</v>
      </c>
      <c r="D42" s="2" t="s">
        <v>21</v>
      </c>
      <c r="E42" s="2" t="s">
        <v>22</v>
      </c>
      <c r="F42" s="2" t="s">
        <v>23</v>
      </c>
      <c r="G42" s="2" t="s">
        <v>43</v>
      </c>
      <c r="H42" s="2" t="s">
        <v>209</v>
      </c>
      <c r="I42" s="2" t="s">
        <v>210</v>
      </c>
      <c r="J42" s="2" t="s">
        <v>121</v>
      </c>
      <c r="K42" s="1">
        <v>2</v>
      </c>
      <c r="L42" s="26">
        <v>19152</v>
      </c>
      <c r="M42" s="26">
        <v>1061</v>
      </c>
      <c r="N42" s="26">
        <v>37243</v>
      </c>
      <c r="O42" s="26">
        <v>1862.15</v>
      </c>
      <c r="P42" s="26">
        <v>200</v>
      </c>
      <c r="Q42" s="26">
        <v>39305.15</v>
      </c>
      <c r="R42" s="2" t="s">
        <v>39</v>
      </c>
      <c r="S42" s="1" t="s">
        <v>211</v>
      </c>
      <c r="T42" s="2" t="s">
        <v>41</v>
      </c>
      <c r="U42">
        <f>IF(Table1[[#This Row],[Return_Flag]]="Yes",1,0)</f>
        <v>1</v>
      </c>
    </row>
    <row r="43" spans="1:21" ht="14">
      <c r="A43" s="3">
        <v>1042</v>
      </c>
      <c r="B43" s="6">
        <v>45295</v>
      </c>
      <c r="C43" s="4" t="s">
        <v>212</v>
      </c>
      <c r="D43" s="4" t="s">
        <v>32</v>
      </c>
      <c r="E43" s="4" t="s">
        <v>22</v>
      </c>
      <c r="F43" s="4" t="s">
        <v>34</v>
      </c>
      <c r="G43" s="4" t="s">
        <v>74</v>
      </c>
      <c r="H43" s="4" t="s">
        <v>213</v>
      </c>
      <c r="I43" s="4" t="s">
        <v>214</v>
      </c>
      <c r="J43" s="4" t="s">
        <v>38</v>
      </c>
      <c r="K43" s="3">
        <v>2</v>
      </c>
      <c r="L43" s="27">
        <v>42581</v>
      </c>
      <c r="M43" s="27">
        <v>2051</v>
      </c>
      <c r="N43" s="27">
        <v>83111</v>
      </c>
      <c r="O43" s="27">
        <v>4155.55</v>
      </c>
      <c r="P43" s="27">
        <v>300</v>
      </c>
      <c r="Q43" s="27">
        <v>87566.55</v>
      </c>
      <c r="R43" s="4" t="s">
        <v>28</v>
      </c>
      <c r="S43" s="1" t="s">
        <v>215</v>
      </c>
      <c r="T43" s="4" t="s">
        <v>30</v>
      </c>
      <c r="U43">
        <f>IF(Table1[[#This Row],[Return_Flag]]="Yes",1,0)</f>
        <v>0</v>
      </c>
    </row>
    <row r="44" spans="1:21" ht="14">
      <c r="A44" s="1">
        <v>1043</v>
      </c>
      <c r="B44" s="5">
        <v>45798</v>
      </c>
      <c r="C44" s="2" t="s">
        <v>216</v>
      </c>
      <c r="D44" s="2" t="s">
        <v>21</v>
      </c>
      <c r="E44" s="2" t="s">
        <v>22</v>
      </c>
      <c r="F44" s="2" t="s">
        <v>23</v>
      </c>
      <c r="G44" s="2" t="s">
        <v>43</v>
      </c>
      <c r="H44" s="2" t="s">
        <v>217</v>
      </c>
      <c r="I44" s="2" t="s">
        <v>218</v>
      </c>
      <c r="J44" s="2" t="s">
        <v>27</v>
      </c>
      <c r="K44" s="1">
        <v>4</v>
      </c>
      <c r="L44" s="26">
        <v>45164</v>
      </c>
      <c r="M44" s="26">
        <v>2295</v>
      </c>
      <c r="N44" s="26">
        <v>178361</v>
      </c>
      <c r="O44" s="26">
        <v>8918.0499999999993</v>
      </c>
      <c r="P44" s="26">
        <v>500</v>
      </c>
      <c r="Q44" s="26">
        <v>187779.1</v>
      </c>
      <c r="R44" s="2" t="s">
        <v>28</v>
      </c>
      <c r="S44" s="1" t="s">
        <v>219</v>
      </c>
      <c r="T44" s="2" t="s">
        <v>30</v>
      </c>
      <c r="U44">
        <f>IF(Table1[[#This Row],[Return_Flag]]="Yes",1,0)</f>
        <v>0</v>
      </c>
    </row>
    <row r="45" spans="1:21" ht="14">
      <c r="A45" s="3">
        <v>1044</v>
      </c>
      <c r="B45" s="6">
        <v>45365</v>
      </c>
      <c r="C45" s="4" t="s">
        <v>220</v>
      </c>
      <c r="D45" s="4" t="s">
        <v>21</v>
      </c>
      <c r="E45" s="4" t="s">
        <v>56</v>
      </c>
      <c r="F45" s="4" t="s">
        <v>49</v>
      </c>
      <c r="G45" s="4" t="s">
        <v>62</v>
      </c>
      <c r="H45" s="4" t="s">
        <v>221</v>
      </c>
      <c r="I45" s="4" t="s">
        <v>222</v>
      </c>
      <c r="J45" s="4" t="s">
        <v>126</v>
      </c>
      <c r="K45" s="3">
        <v>2</v>
      </c>
      <c r="L45" s="27">
        <v>68060</v>
      </c>
      <c r="M45" s="27">
        <v>834</v>
      </c>
      <c r="N45" s="27">
        <v>135286</v>
      </c>
      <c r="O45" s="27">
        <v>6764.3</v>
      </c>
      <c r="P45" s="27">
        <v>200</v>
      </c>
      <c r="Q45" s="27">
        <v>142250.29999999999</v>
      </c>
      <c r="R45" s="4" t="s">
        <v>39</v>
      </c>
      <c r="S45" s="1" t="s">
        <v>223</v>
      </c>
      <c r="T45" s="4" t="s">
        <v>41</v>
      </c>
      <c r="U45">
        <f>IF(Table1[[#This Row],[Return_Flag]]="Yes",1,0)</f>
        <v>1</v>
      </c>
    </row>
    <row r="46" spans="1:21" ht="14">
      <c r="A46" s="1">
        <v>1045</v>
      </c>
      <c r="B46" s="5">
        <v>46010</v>
      </c>
      <c r="C46" s="2" t="s">
        <v>224</v>
      </c>
      <c r="D46" s="2" t="s">
        <v>32</v>
      </c>
      <c r="E46" s="2" t="s">
        <v>56</v>
      </c>
      <c r="F46" s="2" t="s">
        <v>49</v>
      </c>
      <c r="G46" s="2" t="s">
        <v>50</v>
      </c>
      <c r="H46" s="2" t="s">
        <v>225</v>
      </c>
      <c r="I46" s="2" t="s">
        <v>226</v>
      </c>
      <c r="J46" s="2" t="s">
        <v>53</v>
      </c>
      <c r="K46" s="1">
        <v>1</v>
      </c>
      <c r="L46" s="26">
        <v>68364</v>
      </c>
      <c r="M46" s="26">
        <v>2339</v>
      </c>
      <c r="N46" s="26">
        <v>66025</v>
      </c>
      <c r="O46" s="26">
        <v>3301.25</v>
      </c>
      <c r="P46" s="26">
        <v>300</v>
      </c>
      <c r="Q46" s="26">
        <v>69626.25</v>
      </c>
      <c r="R46" s="2" t="s">
        <v>71</v>
      </c>
      <c r="S46" s="1" t="s">
        <v>227</v>
      </c>
      <c r="T46" s="2" t="s">
        <v>30</v>
      </c>
      <c r="U46">
        <f>IF(Table1[[#This Row],[Return_Flag]]="Yes",1,0)</f>
        <v>0</v>
      </c>
    </row>
    <row r="47" spans="1:21" ht="14">
      <c r="A47" s="3">
        <v>1046</v>
      </c>
      <c r="B47" s="6">
        <v>45573</v>
      </c>
      <c r="C47" s="4" t="s">
        <v>228</v>
      </c>
      <c r="D47" s="4" t="s">
        <v>32</v>
      </c>
      <c r="E47" s="4" t="s">
        <v>33</v>
      </c>
      <c r="F47" s="4" t="s">
        <v>49</v>
      </c>
      <c r="G47" s="4" t="s">
        <v>50</v>
      </c>
      <c r="H47" s="4" t="s">
        <v>229</v>
      </c>
      <c r="I47" s="4" t="s">
        <v>230</v>
      </c>
      <c r="J47" s="4" t="s">
        <v>121</v>
      </c>
      <c r="K47" s="3">
        <v>4</v>
      </c>
      <c r="L47" s="27">
        <v>52590</v>
      </c>
      <c r="M47" s="27">
        <v>2937</v>
      </c>
      <c r="N47" s="27">
        <v>207423</v>
      </c>
      <c r="O47" s="27">
        <v>10371.15</v>
      </c>
      <c r="P47" s="27">
        <v>200</v>
      </c>
      <c r="Q47" s="27">
        <v>217994.2</v>
      </c>
      <c r="R47" s="4" t="s">
        <v>39</v>
      </c>
      <c r="S47" s="1" t="s">
        <v>231</v>
      </c>
      <c r="T47" s="4" t="s">
        <v>41</v>
      </c>
      <c r="U47">
        <f>IF(Table1[[#This Row],[Return_Flag]]="Yes",1,0)</f>
        <v>1</v>
      </c>
    </row>
    <row r="48" spans="1:21" ht="14">
      <c r="A48" s="1">
        <v>1047</v>
      </c>
      <c r="B48" s="5">
        <v>45326</v>
      </c>
      <c r="C48" s="2" t="s">
        <v>232</v>
      </c>
      <c r="D48" s="2" t="s">
        <v>32</v>
      </c>
      <c r="E48" s="2" t="s">
        <v>61</v>
      </c>
      <c r="F48" s="2" t="s">
        <v>49</v>
      </c>
      <c r="G48" s="2" t="s">
        <v>50</v>
      </c>
      <c r="H48" s="2" t="s">
        <v>233</v>
      </c>
      <c r="I48" s="2" t="s">
        <v>234</v>
      </c>
      <c r="J48" s="2" t="s">
        <v>46</v>
      </c>
      <c r="K48" s="1">
        <v>3</v>
      </c>
      <c r="L48" s="26">
        <v>11973</v>
      </c>
      <c r="M48" s="26">
        <v>569</v>
      </c>
      <c r="N48" s="26">
        <v>35350</v>
      </c>
      <c r="O48" s="26">
        <v>1767.5</v>
      </c>
      <c r="P48" s="26">
        <v>500</v>
      </c>
      <c r="Q48" s="26">
        <v>37617.5</v>
      </c>
      <c r="R48" s="2" t="s">
        <v>28</v>
      </c>
      <c r="S48" s="1" t="s">
        <v>235</v>
      </c>
      <c r="T48" s="2" t="s">
        <v>30</v>
      </c>
      <c r="U48">
        <f>IF(Table1[[#This Row],[Return_Flag]]="Yes",1,0)</f>
        <v>0</v>
      </c>
    </row>
    <row r="49" spans="1:21" ht="14">
      <c r="A49" s="3">
        <v>1048</v>
      </c>
      <c r="B49" s="6">
        <v>45360</v>
      </c>
      <c r="C49" s="4" t="s">
        <v>236</v>
      </c>
      <c r="D49" s="4" t="s">
        <v>21</v>
      </c>
      <c r="E49" s="4" t="s">
        <v>22</v>
      </c>
      <c r="F49" s="4" t="s">
        <v>34</v>
      </c>
      <c r="G49" s="4" t="s">
        <v>35</v>
      </c>
      <c r="H49" s="4" t="s">
        <v>237</v>
      </c>
      <c r="I49" s="4" t="s">
        <v>238</v>
      </c>
      <c r="J49" s="4" t="s">
        <v>27</v>
      </c>
      <c r="K49" s="3">
        <v>2</v>
      </c>
      <c r="L49" s="27">
        <v>43659</v>
      </c>
      <c r="M49" s="27">
        <v>1794</v>
      </c>
      <c r="N49" s="27">
        <v>85524</v>
      </c>
      <c r="O49" s="27">
        <v>4276.2</v>
      </c>
      <c r="P49" s="27">
        <v>150</v>
      </c>
      <c r="Q49" s="27">
        <v>89950.2</v>
      </c>
      <c r="R49" s="4" t="s">
        <v>28</v>
      </c>
      <c r="S49" s="1" t="s">
        <v>239</v>
      </c>
      <c r="T49" s="4" t="s">
        <v>30</v>
      </c>
      <c r="U49">
        <f>IF(Table1[[#This Row],[Return_Flag]]="Yes",1,0)</f>
        <v>0</v>
      </c>
    </row>
    <row r="50" spans="1:21" ht="14">
      <c r="A50" s="1">
        <v>1049</v>
      </c>
      <c r="B50" s="5">
        <v>45733</v>
      </c>
      <c r="C50" s="2" t="s">
        <v>240</v>
      </c>
      <c r="D50" s="2" t="s">
        <v>32</v>
      </c>
      <c r="E50" s="2" t="s">
        <v>22</v>
      </c>
      <c r="F50" s="2" t="s">
        <v>49</v>
      </c>
      <c r="G50" s="2" t="s">
        <v>62</v>
      </c>
      <c r="H50" s="2" t="s">
        <v>241</v>
      </c>
      <c r="I50" s="2" t="s">
        <v>242</v>
      </c>
      <c r="J50" s="2" t="s">
        <v>121</v>
      </c>
      <c r="K50" s="1">
        <v>1</v>
      </c>
      <c r="L50" s="26">
        <v>39728</v>
      </c>
      <c r="M50" s="26">
        <v>1137</v>
      </c>
      <c r="N50" s="26">
        <v>38591</v>
      </c>
      <c r="O50" s="26">
        <v>1929.55</v>
      </c>
      <c r="P50" s="26">
        <v>150</v>
      </c>
      <c r="Q50" s="26">
        <v>40670.550000000003</v>
      </c>
      <c r="R50" s="2" t="s">
        <v>39</v>
      </c>
      <c r="S50" s="1" t="s">
        <v>243</v>
      </c>
      <c r="T50" s="2" t="s">
        <v>41</v>
      </c>
      <c r="U50">
        <f>IF(Table1[[#This Row],[Return_Flag]]="Yes",1,0)</f>
        <v>1</v>
      </c>
    </row>
    <row r="51" spans="1:21" ht="14">
      <c r="A51" s="3">
        <v>1050</v>
      </c>
      <c r="B51" s="6">
        <v>45741</v>
      </c>
      <c r="C51" s="4" t="s">
        <v>244</v>
      </c>
      <c r="D51" s="4" t="s">
        <v>21</v>
      </c>
      <c r="E51" s="4" t="s">
        <v>22</v>
      </c>
      <c r="F51" s="4" t="s">
        <v>23</v>
      </c>
      <c r="G51" s="4" t="s">
        <v>118</v>
      </c>
      <c r="H51" s="4" t="s">
        <v>245</v>
      </c>
      <c r="I51" s="4" t="s">
        <v>246</v>
      </c>
      <c r="J51" s="4" t="s">
        <v>121</v>
      </c>
      <c r="K51" s="3">
        <v>5</v>
      </c>
      <c r="L51" s="27">
        <v>32750</v>
      </c>
      <c r="M51" s="27">
        <v>1066</v>
      </c>
      <c r="N51" s="27">
        <v>162684</v>
      </c>
      <c r="O51" s="27">
        <v>8134.2</v>
      </c>
      <c r="P51" s="27">
        <v>150</v>
      </c>
      <c r="Q51" s="27">
        <v>170968.2</v>
      </c>
      <c r="R51" s="4" t="s">
        <v>71</v>
      </c>
      <c r="S51" s="1" t="s">
        <v>247</v>
      </c>
      <c r="T51" s="4" t="s">
        <v>30</v>
      </c>
      <c r="U51">
        <f>IF(Table1[[#This Row],[Return_Flag]]="Yes",1,0)</f>
        <v>0</v>
      </c>
    </row>
    <row r="52" spans="1:21" ht="14">
      <c r="A52" s="1">
        <v>1051</v>
      </c>
      <c r="B52" s="5">
        <v>45497</v>
      </c>
      <c r="C52" s="2" t="s">
        <v>248</v>
      </c>
      <c r="D52" s="2" t="s">
        <v>21</v>
      </c>
      <c r="E52" s="2" t="s">
        <v>61</v>
      </c>
      <c r="F52" s="2" t="s">
        <v>34</v>
      </c>
      <c r="G52" s="2" t="s">
        <v>101</v>
      </c>
      <c r="H52" s="2" t="s">
        <v>249</v>
      </c>
      <c r="I52" s="2" t="s">
        <v>250</v>
      </c>
      <c r="J52" s="2" t="s">
        <v>46</v>
      </c>
      <c r="K52" s="1">
        <v>3</v>
      </c>
      <c r="L52" s="26">
        <v>59510</v>
      </c>
      <c r="M52" s="26">
        <v>688</v>
      </c>
      <c r="N52" s="26">
        <v>177842</v>
      </c>
      <c r="O52" s="26">
        <v>8892.1</v>
      </c>
      <c r="P52" s="26">
        <v>500</v>
      </c>
      <c r="Q52" s="26">
        <v>187234.1</v>
      </c>
      <c r="R52" s="2" t="s">
        <v>39</v>
      </c>
      <c r="S52" s="1" t="s">
        <v>251</v>
      </c>
      <c r="T52" s="2" t="s">
        <v>41</v>
      </c>
      <c r="U52">
        <f>IF(Table1[[#This Row],[Return_Flag]]="Yes",1,0)</f>
        <v>1</v>
      </c>
    </row>
    <row r="53" spans="1:21" ht="14">
      <c r="A53" s="3">
        <v>1052</v>
      </c>
      <c r="B53" s="6">
        <v>45387</v>
      </c>
      <c r="C53" s="4" t="s">
        <v>252</v>
      </c>
      <c r="D53" s="4" t="s">
        <v>32</v>
      </c>
      <c r="E53" s="4" t="s">
        <v>56</v>
      </c>
      <c r="F53" s="4" t="s">
        <v>49</v>
      </c>
      <c r="G53" s="4" t="s">
        <v>62</v>
      </c>
      <c r="H53" s="4" t="s">
        <v>253</v>
      </c>
      <c r="I53" s="4" t="s">
        <v>254</v>
      </c>
      <c r="J53" s="4" t="s">
        <v>65</v>
      </c>
      <c r="K53" s="3">
        <v>2</v>
      </c>
      <c r="L53" s="27">
        <v>38230</v>
      </c>
      <c r="M53" s="27">
        <v>442</v>
      </c>
      <c r="N53" s="27">
        <v>76018</v>
      </c>
      <c r="O53" s="27">
        <v>3800.9</v>
      </c>
      <c r="P53" s="27">
        <v>100</v>
      </c>
      <c r="Q53" s="27">
        <v>79918.899999999994</v>
      </c>
      <c r="R53" s="4" t="s">
        <v>71</v>
      </c>
      <c r="S53" s="1" t="s">
        <v>255</v>
      </c>
      <c r="T53" s="4" t="s">
        <v>30</v>
      </c>
      <c r="U53">
        <f>IF(Table1[[#This Row],[Return_Flag]]="Yes",1,0)</f>
        <v>0</v>
      </c>
    </row>
    <row r="54" spans="1:21" ht="14">
      <c r="A54" s="1">
        <v>1053</v>
      </c>
      <c r="B54" s="5">
        <v>45956</v>
      </c>
      <c r="C54" s="2" t="s">
        <v>256</v>
      </c>
      <c r="D54" s="2" t="s">
        <v>21</v>
      </c>
      <c r="E54" s="2" t="s">
        <v>56</v>
      </c>
      <c r="F54" s="2" t="s">
        <v>23</v>
      </c>
      <c r="G54" s="2" t="s">
        <v>43</v>
      </c>
      <c r="H54" s="2" t="s">
        <v>257</v>
      </c>
      <c r="I54" s="2" t="s">
        <v>258</v>
      </c>
      <c r="J54" s="2" t="s">
        <v>27</v>
      </c>
      <c r="K54" s="1">
        <v>3</v>
      </c>
      <c r="L54" s="26">
        <v>41796</v>
      </c>
      <c r="M54" s="26">
        <v>1790</v>
      </c>
      <c r="N54" s="26">
        <v>123598</v>
      </c>
      <c r="O54" s="26">
        <v>6179.9</v>
      </c>
      <c r="P54" s="26">
        <v>500</v>
      </c>
      <c r="Q54" s="26">
        <v>130277.9</v>
      </c>
      <c r="R54" s="2" t="s">
        <v>28</v>
      </c>
      <c r="S54" s="1" t="s">
        <v>259</v>
      </c>
      <c r="T54" s="2" t="s">
        <v>30</v>
      </c>
      <c r="U54">
        <f>IF(Table1[[#This Row],[Return_Flag]]="Yes",1,0)</f>
        <v>0</v>
      </c>
    </row>
    <row r="55" spans="1:21" ht="14">
      <c r="A55" s="3">
        <v>1054</v>
      </c>
      <c r="B55" s="6">
        <v>45448</v>
      </c>
      <c r="C55" s="4" t="s">
        <v>260</v>
      </c>
      <c r="D55" s="4" t="s">
        <v>21</v>
      </c>
      <c r="E55" s="4" t="s">
        <v>33</v>
      </c>
      <c r="F55" s="4" t="s">
        <v>49</v>
      </c>
      <c r="G55" s="4" t="s">
        <v>62</v>
      </c>
      <c r="H55" s="4" t="s">
        <v>261</v>
      </c>
      <c r="I55" s="4" t="s">
        <v>262</v>
      </c>
      <c r="J55" s="4" t="s">
        <v>65</v>
      </c>
      <c r="K55" s="3">
        <v>3</v>
      </c>
      <c r="L55" s="27">
        <v>40950</v>
      </c>
      <c r="M55" s="27">
        <v>2208</v>
      </c>
      <c r="N55" s="27">
        <v>120642</v>
      </c>
      <c r="O55" s="27">
        <v>6032.1</v>
      </c>
      <c r="P55" s="27">
        <v>300</v>
      </c>
      <c r="Q55" s="27">
        <v>126974.1</v>
      </c>
      <c r="R55" s="4" t="s">
        <v>39</v>
      </c>
      <c r="S55" s="1" t="s">
        <v>263</v>
      </c>
      <c r="T55" s="4" t="s">
        <v>41</v>
      </c>
      <c r="U55">
        <f>IF(Table1[[#This Row],[Return_Flag]]="Yes",1,0)</f>
        <v>1</v>
      </c>
    </row>
    <row r="56" spans="1:21" ht="14">
      <c r="A56" s="1">
        <v>1055</v>
      </c>
      <c r="B56" s="5">
        <v>45678</v>
      </c>
      <c r="C56" s="2" t="s">
        <v>264</v>
      </c>
      <c r="D56" s="2" t="s">
        <v>32</v>
      </c>
      <c r="E56" s="2" t="s">
        <v>61</v>
      </c>
      <c r="F56" s="2" t="s">
        <v>23</v>
      </c>
      <c r="G56" s="2" t="s">
        <v>43</v>
      </c>
      <c r="H56" s="2" t="s">
        <v>265</v>
      </c>
      <c r="I56" s="2" t="s">
        <v>266</v>
      </c>
      <c r="J56" s="2" t="s">
        <v>121</v>
      </c>
      <c r="K56" s="1">
        <v>1</v>
      </c>
      <c r="L56" s="26">
        <v>37388</v>
      </c>
      <c r="M56" s="26">
        <v>2603</v>
      </c>
      <c r="N56" s="26">
        <v>34785</v>
      </c>
      <c r="O56" s="26">
        <v>1739.25</v>
      </c>
      <c r="P56" s="26">
        <v>500</v>
      </c>
      <c r="Q56" s="26">
        <v>37024.25</v>
      </c>
      <c r="R56" s="2" t="s">
        <v>28</v>
      </c>
      <c r="S56" s="1" t="s">
        <v>267</v>
      </c>
      <c r="T56" s="2" t="s">
        <v>30</v>
      </c>
      <c r="U56">
        <f>IF(Table1[[#This Row],[Return_Flag]]="Yes",1,0)</f>
        <v>0</v>
      </c>
    </row>
    <row r="57" spans="1:21" ht="14">
      <c r="A57" s="3">
        <v>1056</v>
      </c>
      <c r="B57" s="6">
        <v>45821</v>
      </c>
      <c r="C57" s="4" t="s">
        <v>268</v>
      </c>
      <c r="D57" s="4" t="s">
        <v>32</v>
      </c>
      <c r="E57" s="4" t="s">
        <v>56</v>
      </c>
      <c r="F57" s="4" t="s">
        <v>49</v>
      </c>
      <c r="G57" s="4" t="s">
        <v>68</v>
      </c>
      <c r="H57" s="4" t="s">
        <v>269</v>
      </c>
      <c r="I57" s="4" t="s">
        <v>270</v>
      </c>
      <c r="J57" s="4" t="s">
        <v>121</v>
      </c>
      <c r="K57" s="3">
        <v>3</v>
      </c>
      <c r="L57" s="27">
        <v>23323</v>
      </c>
      <c r="M57" s="27">
        <v>1840</v>
      </c>
      <c r="N57" s="27">
        <v>68129</v>
      </c>
      <c r="O57" s="27">
        <v>3406.45</v>
      </c>
      <c r="P57" s="27">
        <v>500</v>
      </c>
      <c r="Q57" s="27">
        <v>72035.45</v>
      </c>
      <c r="R57" s="4" t="s">
        <v>28</v>
      </c>
      <c r="S57" s="1" t="s">
        <v>271</v>
      </c>
      <c r="T57" s="4" t="s">
        <v>30</v>
      </c>
      <c r="U57">
        <f>IF(Table1[[#This Row],[Return_Flag]]="Yes",1,0)</f>
        <v>0</v>
      </c>
    </row>
    <row r="58" spans="1:21" ht="14">
      <c r="A58" s="1">
        <v>1057</v>
      </c>
      <c r="B58" s="5">
        <v>45383</v>
      </c>
      <c r="C58" s="2" t="s">
        <v>272</v>
      </c>
      <c r="D58" s="2" t="s">
        <v>32</v>
      </c>
      <c r="E58" s="2" t="s">
        <v>61</v>
      </c>
      <c r="F58" s="2" t="s">
        <v>49</v>
      </c>
      <c r="G58" s="2" t="s">
        <v>62</v>
      </c>
      <c r="H58" s="2" t="s">
        <v>273</v>
      </c>
      <c r="I58" s="2" t="s">
        <v>274</v>
      </c>
      <c r="J58" s="2" t="s">
        <v>65</v>
      </c>
      <c r="K58" s="1">
        <v>4</v>
      </c>
      <c r="L58" s="26">
        <v>45041</v>
      </c>
      <c r="M58" s="26">
        <v>2546</v>
      </c>
      <c r="N58" s="26">
        <v>177618</v>
      </c>
      <c r="O58" s="26">
        <v>8880.9</v>
      </c>
      <c r="P58" s="26">
        <v>500</v>
      </c>
      <c r="Q58" s="26">
        <v>186998.9</v>
      </c>
      <c r="R58" s="2" t="s">
        <v>28</v>
      </c>
      <c r="S58" s="1" t="s">
        <v>275</v>
      </c>
      <c r="T58" s="2" t="s">
        <v>30</v>
      </c>
      <c r="U58">
        <f>IF(Table1[[#This Row],[Return_Flag]]="Yes",1,0)</f>
        <v>0</v>
      </c>
    </row>
    <row r="59" spans="1:21" ht="14">
      <c r="A59" s="3">
        <v>1058</v>
      </c>
      <c r="B59" s="6">
        <v>45574</v>
      </c>
      <c r="C59" s="4" t="s">
        <v>276</v>
      </c>
      <c r="D59" s="4" t="s">
        <v>32</v>
      </c>
      <c r="E59" s="4" t="s">
        <v>33</v>
      </c>
      <c r="F59" s="4" t="s">
        <v>49</v>
      </c>
      <c r="G59" s="4" t="s">
        <v>50</v>
      </c>
      <c r="H59" s="4" t="s">
        <v>277</v>
      </c>
      <c r="I59" s="4" t="s">
        <v>278</v>
      </c>
      <c r="J59" s="4" t="s">
        <v>46</v>
      </c>
      <c r="K59" s="3">
        <v>4</v>
      </c>
      <c r="L59" s="27">
        <v>21458</v>
      </c>
      <c r="M59" s="27">
        <v>2595</v>
      </c>
      <c r="N59" s="27">
        <v>83237</v>
      </c>
      <c r="O59" s="27">
        <v>4161.8500000000004</v>
      </c>
      <c r="P59" s="27">
        <v>300</v>
      </c>
      <c r="Q59" s="27">
        <v>87698.85</v>
      </c>
      <c r="R59" s="4" t="s">
        <v>39</v>
      </c>
      <c r="S59" s="1" t="s">
        <v>279</v>
      </c>
      <c r="T59" s="4" t="s">
        <v>41</v>
      </c>
      <c r="U59">
        <f>IF(Table1[[#This Row],[Return_Flag]]="Yes",1,0)</f>
        <v>1</v>
      </c>
    </row>
    <row r="60" spans="1:21" ht="14">
      <c r="A60" s="1">
        <v>1059</v>
      </c>
      <c r="B60" s="5">
        <v>45970</v>
      </c>
      <c r="C60" s="2" t="s">
        <v>280</v>
      </c>
      <c r="D60" s="2" t="s">
        <v>21</v>
      </c>
      <c r="E60" s="2" t="s">
        <v>22</v>
      </c>
      <c r="F60" s="2" t="s">
        <v>34</v>
      </c>
      <c r="G60" s="2" t="s">
        <v>35</v>
      </c>
      <c r="H60" s="2" t="s">
        <v>281</v>
      </c>
      <c r="I60" s="2" t="s">
        <v>282</v>
      </c>
      <c r="J60" s="2" t="s">
        <v>53</v>
      </c>
      <c r="K60" s="1">
        <v>4</v>
      </c>
      <c r="L60" s="26">
        <v>40802</v>
      </c>
      <c r="M60" s="26">
        <v>622</v>
      </c>
      <c r="N60" s="26">
        <v>162586</v>
      </c>
      <c r="O60" s="26">
        <v>8129.3</v>
      </c>
      <c r="P60" s="26">
        <v>300</v>
      </c>
      <c r="Q60" s="26">
        <v>171015.3</v>
      </c>
      <c r="R60" s="2" t="s">
        <v>39</v>
      </c>
      <c r="S60" s="1" t="s">
        <v>283</v>
      </c>
      <c r="T60" s="2" t="s">
        <v>41</v>
      </c>
      <c r="U60">
        <f>IF(Table1[[#This Row],[Return_Flag]]="Yes",1,0)</f>
        <v>1</v>
      </c>
    </row>
    <row r="61" spans="1:21" ht="14">
      <c r="A61" s="3">
        <v>1060</v>
      </c>
      <c r="B61" s="6">
        <v>45814</v>
      </c>
      <c r="C61" s="4" t="s">
        <v>284</v>
      </c>
      <c r="D61" s="4" t="s">
        <v>21</v>
      </c>
      <c r="E61" s="4" t="s">
        <v>33</v>
      </c>
      <c r="F61" s="4" t="s">
        <v>34</v>
      </c>
      <c r="G61" s="4" t="s">
        <v>101</v>
      </c>
      <c r="H61" s="4" t="s">
        <v>285</v>
      </c>
      <c r="I61" s="4" t="s">
        <v>286</v>
      </c>
      <c r="J61" s="4" t="s">
        <v>126</v>
      </c>
      <c r="K61" s="3">
        <v>1</v>
      </c>
      <c r="L61" s="27">
        <v>56390</v>
      </c>
      <c r="M61" s="27">
        <v>285</v>
      </c>
      <c r="N61" s="27">
        <v>56105</v>
      </c>
      <c r="O61" s="27">
        <v>2805.25</v>
      </c>
      <c r="P61" s="27">
        <v>200</v>
      </c>
      <c r="Q61" s="27">
        <v>59110.25</v>
      </c>
      <c r="R61" s="4" t="s">
        <v>71</v>
      </c>
      <c r="S61" s="1" t="s">
        <v>287</v>
      </c>
      <c r="T61" s="4" t="s">
        <v>30</v>
      </c>
      <c r="U61">
        <f>IF(Table1[[#This Row],[Return_Flag]]="Yes",1,0)</f>
        <v>0</v>
      </c>
    </row>
    <row r="62" spans="1:21" ht="14">
      <c r="A62" s="1">
        <v>1061</v>
      </c>
      <c r="B62" s="5">
        <v>45722</v>
      </c>
      <c r="C62" s="2" t="s">
        <v>288</v>
      </c>
      <c r="D62" s="2" t="s">
        <v>32</v>
      </c>
      <c r="E62" s="2" t="s">
        <v>22</v>
      </c>
      <c r="F62" s="2" t="s">
        <v>49</v>
      </c>
      <c r="G62" s="2" t="s">
        <v>50</v>
      </c>
      <c r="H62" s="2" t="s">
        <v>289</v>
      </c>
      <c r="I62" s="2" t="s">
        <v>290</v>
      </c>
      <c r="J62" s="2" t="s">
        <v>38</v>
      </c>
      <c r="K62" s="1">
        <v>4</v>
      </c>
      <c r="L62" s="26">
        <v>37149</v>
      </c>
      <c r="M62" s="26">
        <v>2478</v>
      </c>
      <c r="N62" s="26">
        <v>146118</v>
      </c>
      <c r="O62" s="26">
        <v>7305.9</v>
      </c>
      <c r="P62" s="26">
        <v>200</v>
      </c>
      <c r="Q62" s="26">
        <v>153623.9</v>
      </c>
      <c r="R62" s="2" t="s">
        <v>71</v>
      </c>
      <c r="S62" s="1" t="s">
        <v>291</v>
      </c>
      <c r="T62" s="2" t="s">
        <v>30</v>
      </c>
      <c r="U62">
        <f>IF(Table1[[#This Row],[Return_Flag]]="Yes",1,0)</f>
        <v>0</v>
      </c>
    </row>
    <row r="63" spans="1:21" ht="14">
      <c r="A63" s="3">
        <v>1062</v>
      </c>
      <c r="B63" s="6">
        <v>45332</v>
      </c>
      <c r="C63" s="4" t="s">
        <v>292</v>
      </c>
      <c r="D63" s="4" t="s">
        <v>32</v>
      </c>
      <c r="E63" s="4" t="s">
        <v>22</v>
      </c>
      <c r="F63" s="4" t="s">
        <v>23</v>
      </c>
      <c r="G63" s="4" t="s">
        <v>43</v>
      </c>
      <c r="H63" s="4" t="s">
        <v>293</v>
      </c>
      <c r="I63" s="4" t="s">
        <v>294</v>
      </c>
      <c r="J63" s="4" t="s">
        <v>38</v>
      </c>
      <c r="K63" s="3">
        <v>5</v>
      </c>
      <c r="L63" s="27">
        <v>49261</v>
      </c>
      <c r="M63" s="27">
        <v>1916</v>
      </c>
      <c r="N63" s="27">
        <v>244389</v>
      </c>
      <c r="O63" s="27">
        <v>12219.45</v>
      </c>
      <c r="P63" s="27">
        <v>500</v>
      </c>
      <c r="Q63" s="27">
        <v>257108.5</v>
      </c>
      <c r="R63" s="4" t="s">
        <v>28</v>
      </c>
      <c r="S63" s="1" t="s">
        <v>295</v>
      </c>
      <c r="T63" s="4" t="s">
        <v>30</v>
      </c>
      <c r="U63">
        <f>IF(Table1[[#This Row],[Return_Flag]]="Yes",1,0)</f>
        <v>0</v>
      </c>
    </row>
    <row r="64" spans="1:21" ht="14">
      <c r="A64" s="1">
        <v>1063</v>
      </c>
      <c r="B64" s="5">
        <v>45960</v>
      </c>
      <c r="C64" s="2" t="s">
        <v>296</v>
      </c>
      <c r="D64" s="2" t="s">
        <v>32</v>
      </c>
      <c r="E64" s="2" t="s">
        <v>61</v>
      </c>
      <c r="F64" s="2" t="s">
        <v>34</v>
      </c>
      <c r="G64" s="2" t="s">
        <v>35</v>
      </c>
      <c r="H64" s="2" t="s">
        <v>297</v>
      </c>
      <c r="I64" s="2" t="s">
        <v>298</v>
      </c>
      <c r="J64" s="2" t="s">
        <v>46</v>
      </c>
      <c r="K64" s="1">
        <v>5</v>
      </c>
      <c r="L64" s="26">
        <v>31423</v>
      </c>
      <c r="M64" s="26">
        <v>1607</v>
      </c>
      <c r="N64" s="26">
        <v>155508</v>
      </c>
      <c r="O64" s="26">
        <v>7775.4</v>
      </c>
      <c r="P64" s="26">
        <v>500</v>
      </c>
      <c r="Q64" s="26">
        <v>163783.4</v>
      </c>
      <c r="R64" s="2" t="s">
        <v>39</v>
      </c>
      <c r="S64" s="1" t="s">
        <v>299</v>
      </c>
      <c r="T64" s="2" t="s">
        <v>41</v>
      </c>
      <c r="U64">
        <f>IF(Table1[[#This Row],[Return_Flag]]="Yes",1,0)</f>
        <v>1</v>
      </c>
    </row>
    <row r="65" spans="1:21" ht="14">
      <c r="A65" s="3">
        <v>1064</v>
      </c>
      <c r="B65" s="6">
        <v>45557</v>
      </c>
      <c r="C65" s="4" t="s">
        <v>300</v>
      </c>
      <c r="D65" s="4" t="s">
        <v>32</v>
      </c>
      <c r="E65" s="4" t="s">
        <v>61</v>
      </c>
      <c r="F65" s="4" t="s">
        <v>34</v>
      </c>
      <c r="G65" s="4" t="s">
        <v>101</v>
      </c>
      <c r="H65" s="4" t="s">
        <v>301</v>
      </c>
      <c r="I65" s="4" t="s">
        <v>302</v>
      </c>
      <c r="J65" s="4" t="s">
        <v>38</v>
      </c>
      <c r="K65" s="3">
        <v>2</v>
      </c>
      <c r="L65" s="27">
        <v>34917</v>
      </c>
      <c r="M65" s="27">
        <v>2498</v>
      </c>
      <c r="N65" s="27">
        <v>67336</v>
      </c>
      <c r="O65" s="27">
        <v>3366.8</v>
      </c>
      <c r="P65" s="27">
        <v>150</v>
      </c>
      <c r="Q65" s="27">
        <v>70852.800000000003</v>
      </c>
      <c r="R65" s="4" t="s">
        <v>28</v>
      </c>
      <c r="S65" s="1" t="s">
        <v>303</v>
      </c>
      <c r="T65" s="4" t="s">
        <v>30</v>
      </c>
      <c r="U65">
        <f>IF(Table1[[#This Row],[Return_Flag]]="Yes",1,0)</f>
        <v>0</v>
      </c>
    </row>
    <row r="66" spans="1:21" ht="14">
      <c r="A66" s="1">
        <v>1065</v>
      </c>
      <c r="B66" s="5">
        <v>45734</v>
      </c>
      <c r="C66" s="2" t="s">
        <v>304</v>
      </c>
      <c r="D66" s="2" t="s">
        <v>32</v>
      </c>
      <c r="E66" s="2" t="s">
        <v>56</v>
      </c>
      <c r="F66" s="2" t="s">
        <v>34</v>
      </c>
      <c r="G66" s="2" t="s">
        <v>74</v>
      </c>
      <c r="H66" s="2" t="s">
        <v>305</v>
      </c>
      <c r="I66" s="2" t="s">
        <v>306</v>
      </c>
      <c r="J66" s="2" t="s">
        <v>53</v>
      </c>
      <c r="K66" s="1">
        <v>1</v>
      </c>
      <c r="L66" s="26">
        <v>22709</v>
      </c>
      <c r="M66" s="26">
        <v>2372</v>
      </c>
      <c r="N66" s="26">
        <v>20337</v>
      </c>
      <c r="O66" s="26">
        <v>1016.85</v>
      </c>
      <c r="P66" s="26">
        <v>300</v>
      </c>
      <c r="Q66" s="26">
        <v>21653.85</v>
      </c>
      <c r="R66" s="2" t="s">
        <v>28</v>
      </c>
      <c r="S66" s="1" t="s">
        <v>307</v>
      </c>
      <c r="T66" s="2" t="s">
        <v>30</v>
      </c>
      <c r="U66">
        <f>IF(Table1[[#This Row],[Return_Flag]]="Yes",1,0)</f>
        <v>0</v>
      </c>
    </row>
    <row r="67" spans="1:21" ht="14">
      <c r="A67" s="3">
        <v>1066</v>
      </c>
      <c r="B67" s="6">
        <v>45831</v>
      </c>
      <c r="C67" s="4" t="s">
        <v>308</v>
      </c>
      <c r="D67" s="4" t="s">
        <v>32</v>
      </c>
      <c r="E67" s="4" t="s">
        <v>22</v>
      </c>
      <c r="F67" s="4" t="s">
        <v>23</v>
      </c>
      <c r="G67" s="4" t="s">
        <v>118</v>
      </c>
      <c r="H67" s="4" t="s">
        <v>309</v>
      </c>
      <c r="I67" s="4" t="s">
        <v>310</v>
      </c>
      <c r="J67" s="4" t="s">
        <v>65</v>
      </c>
      <c r="K67" s="3">
        <v>4</v>
      </c>
      <c r="L67" s="27">
        <v>48328</v>
      </c>
      <c r="M67" s="27">
        <v>1268</v>
      </c>
      <c r="N67" s="27">
        <v>192044</v>
      </c>
      <c r="O67" s="27">
        <v>9602.2000000000007</v>
      </c>
      <c r="P67" s="27">
        <v>300</v>
      </c>
      <c r="Q67" s="27">
        <v>201946.2</v>
      </c>
      <c r="R67" s="4" t="s">
        <v>71</v>
      </c>
      <c r="S67" s="1" t="s">
        <v>311</v>
      </c>
      <c r="T67" s="4" t="s">
        <v>30</v>
      </c>
      <c r="U67">
        <f>IF(Table1[[#This Row],[Return_Flag]]="Yes",1,0)</f>
        <v>0</v>
      </c>
    </row>
    <row r="68" spans="1:21" ht="14">
      <c r="A68" s="1">
        <v>1067</v>
      </c>
      <c r="B68" s="5">
        <v>45989</v>
      </c>
      <c r="C68" s="2" t="s">
        <v>312</v>
      </c>
      <c r="D68" s="2" t="s">
        <v>32</v>
      </c>
      <c r="E68" s="2" t="s">
        <v>33</v>
      </c>
      <c r="F68" s="2" t="s">
        <v>23</v>
      </c>
      <c r="G68" s="2" t="s">
        <v>118</v>
      </c>
      <c r="H68" s="2" t="s">
        <v>313</v>
      </c>
      <c r="I68" s="2" t="s">
        <v>314</v>
      </c>
      <c r="J68" s="2" t="s">
        <v>27</v>
      </c>
      <c r="K68" s="1">
        <v>2</v>
      </c>
      <c r="L68" s="26">
        <v>53036</v>
      </c>
      <c r="M68" s="26">
        <v>1316</v>
      </c>
      <c r="N68" s="26">
        <v>104756</v>
      </c>
      <c r="O68" s="26">
        <v>5237.8</v>
      </c>
      <c r="P68" s="26">
        <v>300</v>
      </c>
      <c r="Q68" s="26">
        <v>110293.8</v>
      </c>
      <c r="R68" s="2" t="s">
        <v>71</v>
      </c>
      <c r="S68" s="1" t="s">
        <v>315</v>
      </c>
      <c r="T68" s="2" t="s">
        <v>30</v>
      </c>
      <c r="U68">
        <f>IF(Table1[[#This Row],[Return_Flag]]="Yes",1,0)</f>
        <v>0</v>
      </c>
    </row>
    <row r="69" spans="1:21" ht="14">
      <c r="A69" s="3">
        <v>1068</v>
      </c>
      <c r="B69" s="6">
        <v>45725</v>
      </c>
      <c r="C69" s="4" t="s">
        <v>316</v>
      </c>
      <c r="D69" s="4" t="s">
        <v>21</v>
      </c>
      <c r="E69" s="4" t="s">
        <v>56</v>
      </c>
      <c r="F69" s="4" t="s">
        <v>23</v>
      </c>
      <c r="G69" s="4" t="s">
        <v>43</v>
      </c>
      <c r="H69" s="4" t="s">
        <v>317</v>
      </c>
      <c r="I69" s="4" t="s">
        <v>318</v>
      </c>
      <c r="J69" s="4" t="s">
        <v>65</v>
      </c>
      <c r="K69" s="3">
        <v>1</v>
      </c>
      <c r="L69" s="27">
        <v>65809</v>
      </c>
      <c r="M69" s="27">
        <v>2883</v>
      </c>
      <c r="N69" s="27">
        <v>62926</v>
      </c>
      <c r="O69" s="27">
        <v>3146.3</v>
      </c>
      <c r="P69" s="27">
        <v>500</v>
      </c>
      <c r="Q69" s="27">
        <v>66572.3</v>
      </c>
      <c r="R69" s="4" t="s">
        <v>28</v>
      </c>
      <c r="S69" s="1" t="s">
        <v>319</v>
      </c>
      <c r="T69" s="4" t="s">
        <v>30</v>
      </c>
      <c r="U69">
        <f>IF(Table1[[#This Row],[Return_Flag]]="Yes",1,0)</f>
        <v>0</v>
      </c>
    </row>
    <row r="70" spans="1:21" ht="14">
      <c r="A70" s="1">
        <v>1069</v>
      </c>
      <c r="B70" s="5">
        <v>45514</v>
      </c>
      <c r="C70" s="2" t="s">
        <v>320</v>
      </c>
      <c r="D70" s="2" t="s">
        <v>21</v>
      </c>
      <c r="E70" s="2" t="s">
        <v>61</v>
      </c>
      <c r="F70" s="2" t="s">
        <v>49</v>
      </c>
      <c r="G70" s="2" t="s">
        <v>68</v>
      </c>
      <c r="H70" s="2" t="s">
        <v>321</v>
      </c>
      <c r="I70" s="2" t="s">
        <v>322</v>
      </c>
      <c r="J70" s="2" t="s">
        <v>53</v>
      </c>
      <c r="K70" s="1">
        <v>2</v>
      </c>
      <c r="L70" s="26">
        <v>13482</v>
      </c>
      <c r="M70" s="26">
        <v>909</v>
      </c>
      <c r="N70" s="26">
        <v>26055</v>
      </c>
      <c r="O70" s="26">
        <v>1302.75</v>
      </c>
      <c r="P70" s="26">
        <v>300</v>
      </c>
      <c r="Q70" s="26">
        <v>27657.75</v>
      </c>
      <c r="R70" s="2" t="s">
        <v>71</v>
      </c>
      <c r="S70" s="1" t="s">
        <v>323</v>
      </c>
      <c r="T70" s="2" t="s">
        <v>30</v>
      </c>
      <c r="U70">
        <f>IF(Table1[[#This Row],[Return_Flag]]="Yes",1,0)</f>
        <v>0</v>
      </c>
    </row>
    <row r="71" spans="1:21" ht="14">
      <c r="A71" s="3">
        <v>1070</v>
      </c>
      <c r="B71" s="6">
        <v>45464</v>
      </c>
      <c r="C71" s="4" t="s">
        <v>324</v>
      </c>
      <c r="D71" s="4" t="s">
        <v>21</v>
      </c>
      <c r="E71" s="4" t="s">
        <v>56</v>
      </c>
      <c r="F71" s="4" t="s">
        <v>23</v>
      </c>
      <c r="G71" s="4" t="s">
        <v>24</v>
      </c>
      <c r="H71" s="4" t="s">
        <v>325</v>
      </c>
      <c r="I71" s="4" t="s">
        <v>326</v>
      </c>
      <c r="J71" s="4" t="s">
        <v>53</v>
      </c>
      <c r="K71" s="3">
        <v>4</v>
      </c>
      <c r="L71" s="27">
        <v>52064</v>
      </c>
      <c r="M71" s="27">
        <v>867</v>
      </c>
      <c r="N71" s="27">
        <v>207389</v>
      </c>
      <c r="O71" s="27">
        <v>10369.450000000001</v>
      </c>
      <c r="P71" s="27">
        <v>300</v>
      </c>
      <c r="Q71" s="27">
        <v>218058.5</v>
      </c>
      <c r="R71" s="4" t="s">
        <v>28</v>
      </c>
      <c r="S71" s="1" t="s">
        <v>327</v>
      </c>
      <c r="T71" s="4" t="s">
        <v>30</v>
      </c>
      <c r="U71">
        <f>IF(Table1[[#This Row],[Return_Flag]]="Yes",1,0)</f>
        <v>0</v>
      </c>
    </row>
    <row r="72" spans="1:21" ht="14">
      <c r="A72" s="1">
        <v>1071</v>
      </c>
      <c r="B72" s="5">
        <v>45899</v>
      </c>
      <c r="C72" s="2" t="s">
        <v>328</v>
      </c>
      <c r="D72" s="2" t="s">
        <v>21</v>
      </c>
      <c r="E72" s="2" t="s">
        <v>56</v>
      </c>
      <c r="F72" s="2" t="s">
        <v>23</v>
      </c>
      <c r="G72" s="2" t="s">
        <v>118</v>
      </c>
      <c r="H72" s="2" t="s">
        <v>329</v>
      </c>
      <c r="I72" s="2" t="s">
        <v>330</v>
      </c>
      <c r="J72" s="2" t="s">
        <v>126</v>
      </c>
      <c r="K72" s="1">
        <v>1</v>
      </c>
      <c r="L72" s="26">
        <v>3020</v>
      </c>
      <c r="M72" s="26">
        <v>21</v>
      </c>
      <c r="N72" s="26">
        <v>2999</v>
      </c>
      <c r="O72" s="26">
        <v>149.94999999999999</v>
      </c>
      <c r="P72" s="26">
        <v>300</v>
      </c>
      <c r="Q72" s="26">
        <v>3448.95</v>
      </c>
      <c r="R72" s="2" t="s">
        <v>39</v>
      </c>
      <c r="S72" s="1" t="s">
        <v>331</v>
      </c>
      <c r="T72" s="2" t="s">
        <v>41</v>
      </c>
      <c r="U72">
        <f>IF(Table1[[#This Row],[Return_Flag]]="Yes",1,0)</f>
        <v>1</v>
      </c>
    </row>
    <row r="73" spans="1:21" ht="14">
      <c r="A73" s="3">
        <v>1072</v>
      </c>
      <c r="B73" s="6">
        <v>45701</v>
      </c>
      <c r="C73" s="4" t="s">
        <v>332</v>
      </c>
      <c r="D73" s="4" t="s">
        <v>32</v>
      </c>
      <c r="E73" s="4" t="s">
        <v>61</v>
      </c>
      <c r="F73" s="4" t="s">
        <v>49</v>
      </c>
      <c r="G73" s="4" t="s">
        <v>50</v>
      </c>
      <c r="H73" s="4" t="s">
        <v>333</v>
      </c>
      <c r="I73" s="4" t="s">
        <v>334</v>
      </c>
      <c r="J73" s="4" t="s">
        <v>38</v>
      </c>
      <c r="K73" s="3">
        <v>1</v>
      </c>
      <c r="L73" s="27">
        <v>2989</v>
      </c>
      <c r="M73" s="27">
        <v>1586</v>
      </c>
      <c r="N73" s="27">
        <v>1403</v>
      </c>
      <c r="O73" s="27">
        <v>70.150000000000006</v>
      </c>
      <c r="P73" s="27">
        <v>150</v>
      </c>
      <c r="Q73" s="27">
        <v>1623.15</v>
      </c>
      <c r="R73" s="4" t="s">
        <v>28</v>
      </c>
      <c r="S73" s="1" t="s">
        <v>335</v>
      </c>
      <c r="T73" s="4" t="s">
        <v>30</v>
      </c>
      <c r="U73">
        <f>IF(Table1[[#This Row],[Return_Flag]]="Yes",1,0)</f>
        <v>0</v>
      </c>
    </row>
    <row r="74" spans="1:21" ht="14">
      <c r="A74" s="1">
        <v>1073</v>
      </c>
      <c r="B74" s="5">
        <v>45425</v>
      </c>
      <c r="C74" s="2" t="s">
        <v>336</v>
      </c>
      <c r="D74" s="2" t="s">
        <v>32</v>
      </c>
      <c r="E74" s="2" t="s">
        <v>33</v>
      </c>
      <c r="F74" s="2" t="s">
        <v>34</v>
      </c>
      <c r="G74" s="2" t="s">
        <v>101</v>
      </c>
      <c r="H74" s="2" t="s">
        <v>337</v>
      </c>
      <c r="I74" s="2" t="s">
        <v>338</v>
      </c>
      <c r="J74" s="2" t="s">
        <v>38</v>
      </c>
      <c r="K74" s="1">
        <v>3</v>
      </c>
      <c r="L74" s="26">
        <v>2892</v>
      </c>
      <c r="M74" s="26">
        <v>145</v>
      </c>
      <c r="N74" s="26">
        <v>8531</v>
      </c>
      <c r="O74" s="26">
        <v>426.55</v>
      </c>
      <c r="P74" s="26">
        <v>500</v>
      </c>
      <c r="Q74" s="26">
        <v>9457.5499999999993</v>
      </c>
      <c r="R74" s="2" t="s">
        <v>71</v>
      </c>
      <c r="S74" s="1" t="s">
        <v>339</v>
      </c>
      <c r="T74" s="2" t="s">
        <v>30</v>
      </c>
      <c r="U74">
        <f>IF(Table1[[#This Row],[Return_Flag]]="Yes",1,0)</f>
        <v>0</v>
      </c>
    </row>
    <row r="75" spans="1:21" ht="14">
      <c r="A75" s="3">
        <v>1074</v>
      </c>
      <c r="B75" s="6">
        <v>45412</v>
      </c>
      <c r="C75" s="4" t="s">
        <v>340</v>
      </c>
      <c r="D75" s="4" t="s">
        <v>21</v>
      </c>
      <c r="E75" s="4" t="s">
        <v>22</v>
      </c>
      <c r="F75" s="4" t="s">
        <v>23</v>
      </c>
      <c r="G75" s="4" t="s">
        <v>118</v>
      </c>
      <c r="H75" s="4" t="s">
        <v>341</v>
      </c>
      <c r="I75" s="4" t="s">
        <v>342</v>
      </c>
      <c r="J75" s="4" t="s">
        <v>65</v>
      </c>
      <c r="K75" s="3">
        <v>1</v>
      </c>
      <c r="L75" s="27">
        <v>66491</v>
      </c>
      <c r="M75" s="27">
        <v>2611</v>
      </c>
      <c r="N75" s="27">
        <v>63880</v>
      </c>
      <c r="O75" s="27">
        <v>3194</v>
      </c>
      <c r="P75" s="27">
        <v>150</v>
      </c>
      <c r="Q75" s="27">
        <v>67224</v>
      </c>
      <c r="R75" s="4" t="s">
        <v>28</v>
      </c>
      <c r="S75" s="1" t="s">
        <v>343</v>
      </c>
      <c r="T75" s="4" t="s">
        <v>30</v>
      </c>
      <c r="U75">
        <f>IF(Table1[[#This Row],[Return_Flag]]="Yes",1,0)</f>
        <v>0</v>
      </c>
    </row>
    <row r="76" spans="1:21" ht="14">
      <c r="A76" s="1">
        <v>1075</v>
      </c>
      <c r="B76" s="5">
        <v>45720</v>
      </c>
      <c r="C76" s="2" t="s">
        <v>344</v>
      </c>
      <c r="D76" s="2" t="s">
        <v>32</v>
      </c>
      <c r="E76" s="2" t="s">
        <v>22</v>
      </c>
      <c r="F76" s="2" t="s">
        <v>34</v>
      </c>
      <c r="G76" s="2" t="s">
        <v>101</v>
      </c>
      <c r="H76" s="2" t="s">
        <v>345</v>
      </c>
      <c r="I76" s="2" t="s">
        <v>346</v>
      </c>
      <c r="J76" s="2" t="s">
        <v>38</v>
      </c>
      <c r="K76" s="1">
        <v>3</v>
      </c>
      <c r="L76" s="26">
        <v>35058</v>
      </c>
      <c r="M76" s="26">
        <v>2628</v>
      </c>
      <c r="N76" s="26">
        <v>102546</v>
      </c>
      <c r="O76" s="26">
        <v>5127.3</v>
      </c>
      <c r="P76" s="26">
        <v>150</v>
      </c>
      <c r="Q76" s="26">
        <v>107823.3</v>
      </c>
      <c r="R76" s="2" t="s">
        <v>71</v>
      </c>
      <c r="S76" s="1" t="s">
        <v>347</v>
      </c>
      <c r="T76" s="2" t="s">
        <v>30</v>
      </c>
      <c r="U76">
        <f>IF(Table1[[#This Row],[Return_Flag]]="Yes",1,0)</f>
        <v>0</v>
      </c>
    </row>
    <row r="77" spans="1:21" ht="14">
      <c r="A77" s="3">
        <v>1076</v>
      </c>
      <c r="B77" s="6">
        <v>45730</v>
      </c>
      <c r="C77" s="4" t="s">
        <v>348</v>
      </c>
      <c r="D77" s="4" t="s">
        <v>32</v>
      </c>
      <c r="E77" s="4" t="s">
        <v>61</v>
      </c>
      <c r="F77" s="4" t="s">
        <v>49</v>
      </c>
      <c r="G77" s="4" t="s">
        <v>68</v>
      </c>
      <c r="H77" s="4" t="s">
        <v>349</v>
      </c>
      <c r="I77" s="4" t="s">
        <v>350</v>
      </c>
      <c r="J77" s="4" t="s">
        <v>65</v>
      </c>
      <c r="K77" s="3">
        <v>5</v>
      </c>
      <c r="L77" s="27">
        <v>8969</v>
      </c>
      <c r="M77" s="27">
        <v>1446</v>
      </c>
      <c r="N77" s="27">
        <v>43399</v>
      </c>
      <c r="O77" s="27">
        <v>2169.9499999999998</v>
      </c>
      <c r="P77" s="27">
        <v>500</v>
      </c>
      <c r="Q77" s="27">
        <v>46068.95</v>
      </c>
      <c r="R77" s="4" t="s">
        <v>39</v>
      </c>
      <c r="S77" s="1" t="s">
        <v>351</v>
      </c>
      <c r="T77" s="4" t="s">
        <v>41</v>
      </c>
      <c r="U77">
        <f>IF(Table1[[#This Row],[Return_Flag]]="Yes",1,0)</f>
        <v>1</v>
      </c>
    </row>
    <row r="78" spans="1:21" ht="14">
      <c r="A78" s="1">
        <v>1077</v>
      </c>
      <c r="B78" s="5">
        <v>45629</v>
      </c>
      <c r="C78" s="2" t="s">
        <v>352</v>
      </c>
      <c r="D78" s="2" t="s">
        <v>32</v>
      </c>
      <c r="E78" s="2" t="s">
        <v>22</v>
      </c>
      <c r="F78" s="2" t="s">
        <v>49</v>
      </c>
      <c r="G78" s="2" t="s">
        <v>68</v>
      </c>
      <c r="H78" s="2" t="s">
        <v>353</v>
      </c>
      <c r="I78" s="2" t="s">
        <v>354</v>
      </c>
      <c r="J78" s="2" t="s">
        <v>46</v>
      </c>
      <c r="K78" s="1">
        <v>1</v>
      </c>
      <c r="L78" s="26">
        <v>33975</v>
      </c>
      <c r="M78" s="26">
        <v>727</v>
      </c>
      <c r="N78" s="26">
        <v>33248</v>
      </c>
      <c r="O78" s="26">
        <v>1662.4</v>
      </c>
      <c r="P78" s="26">
        <v>100</v>
      </c>
      <c r="Q78" s="26">
        <v>35010.400000000001</v>
      </c>
      <c r="R78" s="2" t="s">
        <v>71</v>
      </c>
      <c r="S78" s="1" t="s">
        <v>355</v>
      </c>
      <c r="T78" s="2" t="s">
        <v>30</v>
      </c>
      <c r="U78">
        <f>IF(Table1[[#This Row],[Return_Flag]]="Yes",1,0)</f>
        <v>0</v>
      </c>
    </row>
    <row r="79" spans="1:21" ht="14">
      <c r="A79" s="3">
        <v>1078</v>
      </c>
      <c r="B79" s="6">
        <v>45730</v>
      </c>
      <c r="C79" s="4" t="s">
        <v>356</v>
      </c>
      <c r="D79" s="4" t="s">
        <v>32</v>
      </c>
      <c r="E79" s="4" t="s">
        <v>56</v>
      </c>
      <c r="F79" s="4" t="s">
        <v>23</v>
      </c>
      <c r="G79" s="4" t="s">
        <v>43</v>
      </c>
      <c r="H79" s="4" t="s">
        <v>357</v>
      </c>
      <c r="I79" s="4" t="s">
        <v>358</v>
      </c>
      <c r="J79" s="4" t="s">
        <v>27</v>
      </c>
      <c r="K79" s="3">
        <v>1</v>
      </c>
      <c r="L79" s="27">
        <v>68218</v>
      </c>
      <c r="M79" s="27">
        <v>1921</v>
      </c>
      <c r="N79" s="27">
        <v>66297</v>
      </c>
      <c r="O79" s="27">
        <v>3314.85</v>
      </c>
      <c r="P79" s="27">
        <v>500</v>
      </c>
      <c r="Q79" s="27">
        <v>70111.850000000006</v>
      </c>
      <c r="R79" s="4" t="s">
        <v>39</v>
      </c>
      <c r="S79" s="1" t="s">
        <v>359</v>
      </c>
      <c r="T79" s="4" t="s">
        <v>41</v>
      </c>
      <c r="U79">
        <f>IF(Table1[[#This Row],[Return_Flag]]="Yes",1,0)</f>
        <v>1</v>
      </c>
    </row>
    <row r="80" spans="1:21" ht="14">
      <c r="A80" s="1">
        <v>1079</v>
      </c>
      <c r="B80" s="5">
        <v>45540</v>
      </c>
      <c r="C80" s="2" t="s">
        <v>360</v>
      </c>
      <c r="D80" s="2" t="s">
        <v>21</v>
      </c>
      <c r="E80" s="2" t="s">
        <v>33</v>
      </c>
      <c r="F80" s="2" t="s">
        <v>23</v>
      </c>
      <c r="G80" s="2" t="s">
        <v>24</v>
      </c>
      <c r="H80" s="2" t="s">
        <v>361</v>
      </c>
      <c r="I80" s="2" t="s">
        <v>362</v>
      </c>
      <c r="J80" s="2" t="s">
        <v>38</v>
      </c>
      <c r="K80" s="1">
        <v>2</v>
      </c>
      <c r="L80" s="26">
        <v>52798</v>
      </c>
      <c r="M80" s="26">
        <v>2898</v>
      </c>
      <c r="N80" s="26">
        <v>102698</v>
      </c>
      <c r="O80" s="26">
        <v>5134.8999999999996</v>
      </c>
      <c r="P80" s="26">
        <v>300</v>
      </c>
      <c r="Q80" s="26">
        <v>108132.9</v>
      </c>
      <c r="R80" s="2" t="s">
        <v>71</v>
      </c>
      <c r="S80" s="1" t="s">
        <v>363</v>
      </c>
      <c r="T80" s="2" t="s">
        <v>30</v>
      </c>
      <c r="U80">
        <f>IF(Table1[[#This Row],[Return_Flag]]="Yes",1,0)</f>
        <v>0</v>
      </c>
    </row>
    <row r="81" spans="1:21" ht="14">
      <c r="A81" s="3">
        <v>1080</v>
      </c>
      <c r="B81" s="6">
        <v>45625</v>
      </c>
      <c r="C81" s="4" t="s">
        <v>364</v>
      </c>
      <c r="D81" s="4" t="s">
        <v>32</v>
      </c>
      <c r="E81" s="4" t="s">
        <v>56</v>
      </c>
      <c r="F81" s="4" t="s">
        <v>34</v>
      </c>
      <c r="G81" s="4" t="s">
        <v>74</v>
      </c>
      <c r="H81" s="4" t="s">
        <v>365</v>
      </c>
      <c r="I81" s="4" t="s">
        <v>366</v>
      </c>
      <c r="J81" s="4" t="s">
        <v>46</v>
      </c>
      <c r="K81" s="3">
        <v>4</v>
      </c>
      <c r="L81" s="27">
        <v>8623</v>
      </c>
      <c r="M81" s="27">
        <v>3000</v>
      </c>
      <c r="N81" s="27">
        <v>31492</v>
      </c>
      <c r="O81" s="27">
        <v>1574.6</v>
      </c>
      <c r="P81" s="27">
        <v>200</v>
      </c>
      <c r="Q81" s="27">
        <v>33266.6</v>
      </c>
      <c r="R81" s="4" t="s">
        <v>39</v>
      </c>
      <c r="S81" s="1" t="s">
        <v>367</v>
      </c>
      <c r="T81" s="4" t="s">
        <v>41</v>
      </c>
      <c r="U81">
        <f>IF(Table1[[#This Row],[Return_Flag]]="Yes",1,0)</f>
        <v>1</v>
      </c>
    </row>
    <row r="82" spans="1:21" ht="14">
      <c r="A82" s="1">
        <v>1081</v>
      </c>
      <c r="B82" s="5">
        <v>45681</v>
      </c>
      <c r="C82" s="2" t="s">
        <v>368</v>
      </c>
      <c r="D82" s="2" t="s">
        <v>32</v>
      </c>
      <c r="E82" s="2" t="s">
        <v>56</v>
      </c>
      <c r="F82" s="2" t="s">
        <v>49</v>
      </c>
      <c r="G82" s="2" t="s">
        <v>62</v>
      </c>
      <c r="H82" s="2" t="s">
        <v>369</v>
      </c>
      <c r="I82" s="2" t="s">
        <v>370</v>
      </c>
      <c r="J82" s="2" t="s">
        <v>38</v>
      </c>
      <c r="K82" s="1">
        <v>1</v>
      </c>
      <c r="L82" s="26">
        <v>56683</v>
      </c>
      <c r="M82" s="26">
        <v>1005</v>
      </c>
      <c r="N82" s="26">
        <v>55678</v>
      </c>
      <c r="O82" s="26">
        <v>2783.9</v>
      </c>
      <c r="P82" s="26">
        <v>500</v>
      </c>
      <c r="Q82" s="26">
        <v>58961.9</v>
      </c>
      <c r="R82" s="2" t="s">
        <v>28</v>
      </c>
      <c r="S82" s="1" t="s">
        <v>371</v>
      </c>
      <c r="T82" s="2" t="s">
        <v>30</v>
      </c>
      <c r="U82">
        <f>IF(Table1[[#This Row],[Return_Flag]]="Yes",1,0)</f>
        <v>0</v>
      </c>
    </row>
    <row r="83" spans="1:21" ht="14">
      <c r="A83" s="3">
        <v>1082</v>
      </c>
      <c r="B83" s="6">
        <v>45783</v>
      </c>
      <c r="C83" s="4" t="s">
        <v>372</v>
      </c>
      <c r="D83" s="4" t="s">
        <v>32</v>
      </c>
      <c r="E83" s="4" t="s">
        <v>56</v>
      </c>
      <c r="F83" s="4" t="s">
        <v>49</v>
      </c>
      <c r="G83" s="4" t="s">
        <v>62</v>
      </c>
      <c r="H83" s="4" t="s">
        <v>373</v>
      </c>
      <c r="I83" s="4" t="s">
        <v>374</v>
      </c>
      <c r="J83" s="4" t="s">
        <v>65</v>
      </c>
      <c r="K83" s="3">
        <v>1</v>
      </c>
      <c r="L83" s="27">
        <v>18003</v>
      </c>
      <c r="M83" s="27">
        <v>2672</v>
      </c>
      <c r="N83" s="27">
        <v>15331</v>
      </c>
      <c r="O83" s="27">
        <v>766.55</v>
      </c>
      <c r="P83" s="27">
        <v>300</v>
      </c>
      <c r="Q83" s="27">
        <v>16397.55</v>
      </c>
      <c r="R83" s="4" t="s">
        <v>28</v>
      </c>
      <c r="S83" s="1" t="s">
        <v>375</v>
      </c>
      <c r="T83" s="4" t="s">
        <v>30</v>
      </c>
      <c r="U83">
        <f>IF(Table1[[#This Row],[Return_Flag]]="Yes",1,0)</f>
        <v>0</v>
      </c>
    </row>
    <row r="84" spans="1:21" ht="14">
      <c r="A84" s="1">
        <v>1083</v>
      </c>
      <c r="B84" s="5">
        <v>45541</v>
      </c>
      <c r="C84" s="2" t="s">
        <v>376</v>
      </c>
      <c r="D84" s="2" t="s">
        <v>32</v>
      </c>
      <c r="E84" s="2" t="s">
        <v>33</v>
      </c>
      <c r="F84" s="2" t="s">
        <v>34</v>
      </c>
      <c r="G84" s="2" t="s">
        <v>35</v>
      </c>
      <c r="H84" s="2" t="s">
        <v>377</v>
      </c>
      <c r="I84" s="2" t="s">
        <v>378</v>
      </c>
      <c r="J84" s="2" t="s">
        <v>27</v>
      </c>
      <c r="K84" s="1">
        <v>5</v>
      </c>
      <c r="L84" s="26">
        <v>43496</v>
      </c>
      <c r="M84" s="26">
        <v>398</v>
      </c>
      <c r="N84" s="26">
        <v>217082</v>
      </c>
      <c r="O84" s="26">
        <v>10854.1</v>
      </c>
      <c r="P84" s="26">
        <v>300</v>
      </c>
      <c r="Q84" s="26">
        <v>228236.1</v>
      </c>
      <c r="R84" s="2" t="s">
        <v>39</v>
      </c>
      <c r="S84" s="1" t="s">
        <v>379</v>
      </c>
      <c r="T84" s="2" t="s">
        <v>41</v>
      </c>
      <c r="U84">
        <f>IF(Table1[[#This Row],[Return_Flag]]="Yes",1,0)</f>
        <v>1</v>
      </c>
    </row>
    <row r="85" spans="1:21" ht="14">
      <c r="A85" s="3">
        <v>1084</v>
      </c>
      <c r="B85" s="6">
        <v>45362</v>
      </c>
      <c r="C85" s="4" t="s">
        <v>380</v>
      </c>
      <c r="D85" s="4" t="s">
        <v>32</v>
      </c>
      <c r="E85" s="4" t="s">
        <v>33</v>
      </c>
      <c r="F85" s="4" t="s">
        <v>34</v>
      </c>
      <c r="G85" s="4" t="s">
        <v>35</v>
      </c>
      <c r="H85" s="4" t="s">
        <v>381</v>
      </c>
      <c r="I85" s="4" t="s">
        <v>382</v>
      </c>
      <c r="J85" s="4" t="s">
        <v>126</v>
      </c>
      <c r="K85" s="3">
        <v>3</v>
      </c>
      <c r="L85" s="27">
        <v>42785</v>
      </c>
      <c r="M85" s="27">
        <v>1444</v>
      </c>
      <c r="N85" s="27">
        <v>126911</v>
      </c>
      <c r="O85" s="27">
        <v>6345.55</v>
      </c>
      <c r="P85" s="27">
        <v>200</v>
      </c>
      <c r="Q85" s="27">
        <v>133456.6</v>
      </c>
      <c r="R85" s="4" t="s">
        <v>39</v>
      </c>
      <c r="S85" s="1" t="s">
        <v>383</v>
      </c>
      <c r="T85" s="4" t="s">
        <v>41</v>
      </c>
      <c r="U85">
        <f>IF(Table1[[#This Row],[Return_Flag]]="Yes",1,0)</f>
        <v>1</v>
      </c>
    </row>
    <row r="86" spans="1:21" ht="14">
      <c r="A86" s="1">
        <v>1085</v>
      </c>
      <c r="B86" s="5">
        <v>45616</v>
      </c>
      <c r="C86" s="2" t="s">
        <v>384</v>
      </c>
      <c r="D86" s="2" t="s">
        <v>21</v>
      </c>
      <c r="E86" s="2" t="s">
        <v>61</v>
      </c>
      <c r="F86" s="2" t="s">
        <v>34</v>
      </c>
      <c r="G86" s="2" t="s">
        <v>101</v>
      </c>
      <c r="H86" s="2" t="s">
        <v>385</v>
      </c>
      <c r="I86" s="2" t="s">
        <v>386</v>
      </c>
      <c r="J86" s="2" t="s">
        <v>46</v>
      </c>
      <c r="K86" s="1">
        <v>1</v>
      </c>
      <c r="L86" s="26">
        <v>60220</v>
      </c>
      <c r="M86" s="26">
        <v>1145</v>
      </c>
      <c r="N86" s="26">
        <v>59075</v>
      </c>
      <c r="O86" s="26">
        <v>2953.75</v>
      </c>
      <c r="P86" s="26">
        <v>300</v>
      </c>
      <c r="Q86" s="26">
        <v>62328.75</v>
      </c>
      <c r="R86" s="2" t="s">
        <v>39</v>
      </c>
      <c r="S86" s="1" t="s">
        <v>387</v>
      </c>
      <c r="T86" s="2" t="s">
        <v>41</v>
      </c>
      <c r="U86">
        <f>IF(Table1[[#This Row],[Return_Flag]]="Yes",1,0)</f>
        <v>1</v>
      </c>
    </row>
    <row r="87" spans="1:21" ht="14">
      <c r="A87" s="3">
        <v>1086</v>
      </c>
      <c r="B87" s="6">
        <v>45372</v>
      </c>
      <c r="C87" s="4" t="s">
        <v>388</v>
      </c>
      <c r="D87" s="4" t="s">
        <v>32</v>
      </c>
      <c r="E87" s="4" t="s">
        <v>56</v>
      </c>
      <c r="F87" s="4" t="s">
        <v>23</v>
      </c>
      <c r="G87" s="4" t="s">
        <v>118</v>
      </c>
      <c r="H87" s="4" t="s">
        <v>389</v>
      </c>
      <c r="I87" s="4" t="s">
        <v>390</v>
      </c>
      <c r="J87" s="4" t="s">
        <v>38</v>
      </c>
      <c r="K87" s="3">
        <v>1</v>
      </c>
      <c r="L87" s="27">
        <v>69643</v>
      </c>
      <c r="M87" s="27">
        <v>2015</v>
      </c>
      <c r="N87" s="27">
        <v>67628</v>
      </c>
      <c r="O87" s="27">
        <v>3381.4</v>
      </c>
      <c r="P87" s="27">
        <v>500</v>
      </c>
      <c r="Q87" s="27">
        <v>71509.399999999994</v>
      </c>
      <c r="R87" s="4" t="s">
        <v>39</v>
      </c>
      <c r="S87" s="1" t="s">
        <v>391</v>
      </c>
      <c r="T87" s="4" t="s">
        <v>41</v>
      </c>
      <c r="U87">
        <f>IF(Table1[[#This Row],[Return_Flag]]="Yes",1,0)</f>
        <v>1</v>
      </c>
    </row>
    <row r="88" spans="1:21" ht="14">
      <c r="A88" s="1">
        <v>1087</v>
      </c>
      <c r="B88" s="5">
        <v>45950</v>
      </c>
      <c r="C88" s="2" t="s">
        <v>392</v>
      </c>
      <c r="D88" s="2" t="s">
        <v>32</v>
      </c>
      <c r="E88" s="2" t="s">
        <v>22</v>
      </c>
      <c r="F88" s="2" t="s">
        <v>34</v>
      </c>
      <c r="G88" s="2" t="s">
        <v>35</v>
      </c>
      <c r="H88" s="2" t="s">
        <v>393</v>
      </c>
      <c r="I88" s="2" t="s">
        <v>394</v>
      </c>
      <c r="J88" s="2" t="s">
        <v>38</v>
      </c>
      <c r="K88" s="1">
        <v>4</v>
      </c>
      <c r="L88" s="26">
        <v>45623</v>
      </c>
      <c r="M88" s="26">
        <v>2179</v>
      </c>
      <c r="N88" s="26">
        <v>180313</v>
      </c>
      <c r="O88" s="26">
        <v>9015.65</v>
      </c>
      <c r="P88" s="26">
        <v>500</v>
      </c>
      <c r="Q88" s="26">
        <v>189828.7</v>
      </c>
      <c r="R88" s="2" t="s">
        <v>71</v>
      </c>
      <c r="S88" s="1" t="s">
        <v>395</v>
      </c>
      <c r="T88" s="2" t="s">
        <v>30</v>
      </c>
      <c r="U88">
        <f>IF(Table1[[#This Row],[Return_Flag]]="Yes",1,0)</f>
        <v>0</v>
      </c>
    </row>
    <row r="89" spans="1:21" ht="14">
      <c r="A89" s="3">
        <v>1088</v>
      </c>
      <c r="B89" s="6">
        <v>45759</v>
      </c>
      <c r="C89" s="4" t="s">
        <v>396</v>
      </c>
      <c r="D89" s="4" t="s">
        <v>32</v>
      </c>
      <c r="E89" s="4" t="s">
        <v>56</v>
      </c>
      <c r="F89" s="4" t="s">
        <v>49</v>
      </c>
      <c r="G89" s="4" t="s">
        <v>50</v>
      </c>
      <c r="H89" s="4" t="s">
        <v>397</v>
      </c>
      <c r="I89" s="4" t="s">
        <v>398</v>
      </c>
      <c r="J89" s="4" t="s">
        <v>65</v>
      </c>
      <c r="K89" s="3">
        <v>1</v>
      </c>
      <c r="L89" s="27">
        <v>25195</v>
      </c>
      <c r="M89" s="27">
        <v>1683</v>
      </c>
      <c r="N89" s="27">
        <v>23512</v>
      </c>
      <c r="O89" s="27">
        <v>1175.5999999999999</v>
      </c>
      <c r="P89" s="27">
        <v>500</v>
      </c>
      <c r="Q89" s="27">
        <v>25187.599999999999</v>
      </c>
      <c r="R89" s="4" t="s">
        <v>71</v>
      </c>
      <c r="S89" s="1" t="s">
        <v>399</v>
      </c>
      <c r="T89" s="4" t="s">
        <v>30</v>
      </c>
      <c r="U89">
        <f>IF(Table1[[#This Row],[Return_Flag]]="Yes",1,0)</f>
        <v>0</v>
      </c>
    </row>
    <row r="90" spans="1:21" ht="14">
      <c r="A90" s="1">
        <v>1089</v>
      </c>
      <c r="B90" s="5">
        <v>45401</v>
      </c>
      <c r="C90" s="2" t="s">
        <v>400</v>
      </c>
      <c r="D90" s="2" t="s">
        <v>32</v>
      </c>
      <c r="E90" s="2" t="s">
        <v>22</v>
      </c>
      <c r="F90" s="2" t="s">
        <v>34</v>
      </c>
      <c r="G90" s="2" t="s">
        <v>74</v>
      </c>
      <c r="H90" s="2" t="s">
        <v>401</v>
      </c>
      <c r="I90" s="2" t="s">
        <v>402</v>
      </c>
      <c r="J90" s="2" t="s">
        <v>121</v>
      </c>
      <c r="K90" s="1">
        <v>5</v>
      </c>
      <c r="L90" s="26">
        <v>69993</v>
      </c>
      <c r="M90" s="26">
        <v>2625</v>
      </c>
      <c r="N90" s="26">
        <v>347340</v>
      </c>
      <c r="O90" s="26">
        <v>17367</v>
      </c>
      <c r="P90" s="26">
        <v>100</v>
      </c>
      <c r="Q90" s="26">
        <v>364807</v>
      </c>
      <c r="R90" s="2" t="s">
        <v>71</v>
      </c>
      <c r="S90" s="1" t="s">
        <v>403</v>
      </c>
      <c r="T90" s="2" t="s">
        <v>30</v>
      </c>
      <c r="U90">
        <f>IF(Table1[[#This Row],[Return_Flag]]="Yes",1,0)</f>
        <v>0</v>
      </c>
    </row>
    <row r="91" spans="1:21" ht="14">
      <c r="A91" s="3">
        <v>1090</v>
      </c>
      <c r="B91" s="6">
        <v>45734</v>
      </c>
      <c r="C91" s="4" t="s">
        <v>404</v>
      </c>
      <c r="D91" s="4" t="s">
        <v>21</v>
      </c>
      <c r="E91" s="4" t="s">
        <v>22</v>
      </c>
      <c r="F91" s="4" t="s">
        <v>49</v>
      </c>
      <c r="G91" s="4" t="s">
        <v>62</v>
      </c>
      <c r="H91" s="4" t="s">
        <v>405</v>
      </c>
      <c r="I91" s="4" t="s">
        <v>406</v>
      </c>
      <c r="J91" s="4" t="s">
        <v>53</v>
      </c>
      <c r="K91" s="3">
        <v>4</v>
      </c>
      <c r="L91" s="27">
        <v>38191</v>
      </c>
      <c r="M91" s="27">
        <v>900</v>
      </c>
      <c r="N91" s="27">
        <v>151864</v>
      </c>
      <c r="O91" s="27">
        <v>7593.2</v>
      </c>
      <c r="P91" s="27">
        <v>150</v>
      </c>
      <c r="Q91" s="27">
        <v>159607.20000000001</v>
      </c>
      <c r="R91" s="4" t="s">
        <v>28</v>
      </c>
      <c r="S91" s="1" t="s">
        <v>407</v>
      </c>
      <c r="T91" s="4" t="s">
        <v>30</v>
      </c>
      <c r="U91">
        <f>IF(Table1[[#This Row],[Return_Flag]]="Yes",1,0)</f>
        <v>0</v>
      </c>
    </row>
    <row r="92" spans="1:21" ht="14">
      <c r="A92" s="1">
        <v>1091</v>
      </c>
      <c r="B92" s="5">
        <v>45873</v>
      </c>
      <c r="C92" s="2" t="s">
        <v>408</v>
      </c>
      <c r="D92" s="2" t="s">
        <v>32</v>
      </c>
      <c r="E92" s="2" t="s">
        <v>61</v>
      </c>
      <c r="F92" s="2" t="s">
        <v>49</v>
      </c>
      <c r="G92" s="2" t="s">
        <v>50</v>
      </c>
      <c r="H92" s="2" t="s">
        <v>409</v>
      </c>
      <c r="I92" s="2" t="s">
        <v>410</v>
      </c>
      <c r="J92" s="2" t="s">
        <v>121</v>
      </c>
      <c r="K92" s="1">
        <v>4</v>
      </c>
      <c r="L92" s="26">
        <v>10528</v>
      </c>
      <c r="M92" s="26">
        <v>1050</v>
      </c>
      <c r="N92" s="26">
        <v>41062</v>
      </c>
      <c r="O92" s="26">
        <v>2053.1</v>
      </c>
      <c r="P92" s="26">
        <v>300</v>
      </c>
      <c r="Q92" s="26">
        <v>43415.1</v>
      </c>
      <c r="R92" s="2" t="s">
        <v>71</v>
      </c>
      <c r="S92" s="1" t="s">
        <v>411</v>
      </c>
      <c r="T92" s="2" t="s">
        <v>30</v>
      </c>
      <c r="U92">
        <f>IF(Table1[[#This Row],[Return_Flag]]="Yes",1,0)</f>
        <v>0</v>
      </c>
    </row>
    <row r="93" spans="1:21" ht="14">
      <c r="A93" s="3">
        <v>1092</v>
      </c>
      <c r="B93" s="6">
        <v>45790</v>
      </c>
      <c r="C93" s="4" t="s">
        <v>412</v>
      </c>
      <c r="D93" s="4" t="s">
        <v>32</v>
      </c>
      <c r="E93" s="4" t="s">
        <v>22</v>
      </c>
      <c r="F93" s="4" t="s">
        <v>34</v>
      </c>
      <c r="G93" s="4" t="s">
        <v>101</v>
      </c>
      <c r="H93" s="4" t="s">
        <v>413</v>
      </c>
      <c r="I93" s="4" t="s">
        <v>414</v>
      </c>
      <c r="J93" s="4" t="s">
        <v>38</v>
      </c>
      <c r="K93" s="3">
        <v>5</v>
      </c>
      <c r="L93" s="27">
        <v>56783</v>
      </c>
      <c r="M93" s="27">
        <v>164</v>
      </c>
      <c r="N93" s="27">
        <v>283751</v>
      </c>
      <c r="O93" s="27">
        <v>14187.55</v>
      </c>
      <c r="P93" s="27">
        <v>200</v>
      </c>
      <c r="Q93" s="27">
        <v>298138.59999999998</v>
      </c>
      <c r="R93" s="4" t="s">
        <v>39</v>
      </c>
      <c r="S93" s="1" t="s">
        <v>415</v>
      </c>
      <c r="T93" s="4" t="s">
        <v>41</v>
      </c>
      <c r="U93">
        <f>IF(Table1[[#This Row],[Return_Flag]]="Yes",1,0)</f>
        <v>1</v>
      </c>
    </row>
    <row r="94" spans="1:21" ht="14">
      <c r="A94" s="1">
        <v>1093</v>
      </c>
      <c r="B94" s="5">
        <v>46004</v>
      </c>
      <c r="C94" s="2" t="s">
        <v>416</v>
      </c>
      <c r="D94" s="2" t="s">
        <v>21</v>
      </c>
      <c r="E94" s="2" t="s">
        <v>61</v>
      </c>
      <c r="F94" s="2" t="s">
        <v>49</v>
      </c>
      <c r="G94" s="2" t="s">
        <v>50</v>
      </c>
      <c r="H94" s="2" t="s">
        <v>417</v>
      </c>
      <c r="I94" s="2" t="s">
        <v>418</v>
      </c>
      <c r="J94" s="2" t="s">
        <v>121</v>
      </c>
      <c r="K94" s="1">
        <v>3</v>
      </c>
      <c r="L94" s="26">
        <v>68173</v>
      </c>
      <c r="M94" s="26">
        <v>1292</v>
      </c>
      <c r="N94" s="26">
        <v>203227</v>
      </c>
      <c r="O94" s="26">
        <v>10161.35</v>
      </c>
      <c r="P94" s="26">
        <v>500</v>
      </c>
      <c r="Q94" s="26">
        <v>213888.4</v>
      </c>
      <c r="R94" s="2" t="s">
        <v>28</v>
      </c>
      <c r="S94" s="1" t="s">
        <v>419</v>
      </c>
      <c r="T94" s="2" t="s">
        <v>30</v>
      </c>
      <c r="U94">
        <f>IF(Table1[[#This Row],[Return_Flag]]="Yes",1,0)</f>
        <v>0</v>
      </c>
    </row>
    <row r="95" spans="1:21" ht="14">
      <c r="A95" s="3">
        <v>1094</v>
      </c>
      <c r="B95" s="6">
        <v>45822</v>
      </c>
      <c r="C95" s="4" t="s">
        <v>420</v>
      </c>
      <c r="D95" s="4" t="s">
        <v>21</v>
      </c>
      <c r="E95" s="4" t="s">
        <v>22</v>
      </c>
      <c r="F95" s="4" t="s">
        <v>49</v>
      </c>
      <c r="G95" s="4" t="s">
        <v>68</v>
      </c>
      <c r="H95" s="4" t="s">
        <v>421</v>
      </c>
      <c r="I95" s="4" t="s">
        <v>422</v>
      </c>
      <c r="J95" s="4" t="s">
        <v>121</v>
      </c>
      <c r="K95" s="3">
        <v>5</v>
      </c>
      <c r="L95" s="27">
        <v>41338</v>
      </c>
      <c r="M95" s="27">
        <v>1853</v>
      </c>
      <c r="N95" s="27">
        <v>204837</v>
      </c>
      <c r="O95" s="27">
        <v>10241.85</v>
      </c>
      <c r="P95" s="27">
        <v>200</v>
      </c>
      <c r="Q95" s="27">
        <v>215278.9</v>
      </c>
      <c r="R95" s="4" t="s">
        <v>71</v>
      </c>
      <c r="S95" s="1" t="s">
        <v>423</v>
      </c>
      <c r="T95" s="4" t="s">
        <v>30</v>
      </c>
      <c r="U95">
        <f>IF(Table1[[#This Row],[Return_Flag]]="Yes",1,0)</f>
        <v>0</v>
      </c>
    </row>
    <row r="96" spans="1:21" ht="14">
      <c r="A96" s="1">
        <v>1095</v>
      </c>
      <c r="B96" s="5">
        <v>45458</v>
      </c>
      <c r="C96" s="2" t="s">
        <v>424</v>
      </c>
      <c r="D96" s="2" t="s">
        <v>21</v>
      </c>
      <c r="E96" s="2" t="s">
        <v>33</v>
      </c>
      <c r="F96" s="2" t="s">
        <v>49</v>
      </c>
      <c r="G96" s="2" t="s">
        <v>50</v>
      </c>
      <c r="H96" s="2" t="s">
        <v>425</v>
      </c>
      <c r="I96" s="2" t="s">
        <v>426</v>
      </c>
      <c r="J96" s="2" t="s">
        <v>27</v>
      </c>
      <c r="K96" s="1">
        <v>4</v>
      </c>
      <c r="L96" s="26">
        <v>5751</v>
      </c>
      <c r="M96" s="26">
        <v>1508</v>
      </c>
      <c r="N96" s="26">
        <v>21496</v>
      </c>
      <c r="O96" s="26">
        <v>1074.8</v>
      </c>
      <c r="P96" s="26">
        <v>300</v>
      </c>
      <c r="Q96" s="26">
        <v>22870.799999999999</v>
      </c>
      <c r="R96" s="2" t="s">
        <v>39</v>
      </c>
      <c r="S96" s="1" t="s">
        <v>427</v>
      </c>
      <c r="T96" s="2" t="s">
        <v>41</v>
      </c>
      <c r="U96">
        <f>IF(Table1[[#This Row],[Return_Flag]]="Yes",1,0)</f>
        <v>1</v>
      </c>
    </row>
    <row r="97" spans="1:21" ht="14">
      <c r="A97" s="3">
        <v>1096</v>
      </c>
      <c r="B97" s="6">
        <v>45326</v>
      </c>
      <c r="C97" s="4" t="s">
        <v>428</v>
      </c>
      <c r="D97" s="4" t="s">
        <v>21</v>
      </c>
      <c r="E97" s="4" t="s">
        <v>61</v>
      </c>
      <c r="F97" s="4" t="s">
        <v>34</v>
      </c>
      <c r="G97" s="4" t="s">
        <v>35</v>
      </c>
      <c r="H97" s="4" t="s">
        <v>429</v>
      </c>
      <c r="I97" s="4" t="s">
        <v>430</v>
      </c>
      <c r="J97" s="4" t="s">
        <v>46</v>
      </c>
      <c r="K97" s="3">
        <v>4</v>
      </c>
      <c r="L97" s="27">
        <v>36646</v>
      </c>
      <c r="M97" s="27">
        <v>1526</v>
      </c>
      <c r="N97" s="27">
        <v>145058</v>
      </c>
      <c r="O97" s="27">
        <v>7252.9</v>
      </c>
      <c r="P97" s="27">
        <v>300</v>
      </c>
      <c r="Q97" s="27">
        <v>152610.9</v>
      </c>
      <c r="R97" s="4" t="s">
        <v>39</v>
      </c>
      <c r="S97" s="1" t="s">
        <v>431</v>
      </c>
      <c r="T97" s="4" t="s">
        <v>41</v>
      </c>
      <c r="U97">
        <f>IF(Table1[[#This Row],[Return_Flag]]="Yes",1,0)</f>
        <v>1</v>
      </c>
    </row>
    <row r="98" spans="1:21" ht="14">
      <c r="A98" s="1">
        <v>1097</v>
      </c>
      <c r="B98" s="5">
        <v>45411</v>
      </c>
      <c r="C98" s="2" t="s">
        <v>432</v>
      </c>
      <c r="D98" s="2" t="s">
        <v>21</v>
      </c>
      <c r="E98" s="2" t="s">
        <v>22</v>
      </c>
      <c r="F98" s="2" t="s">
        <v>34</v>
      </c>
      <c r="G98" s="2" t="s">
        <v>74</v>
      </c>
      <c r="H98" s="2" t="s">
        <v>433</v>
      </c>
      <c r="I98" s="2" t="s">
        <v>434</v>
      </c>
      <c r="J98" s="2" t="s">
        <v>121</v>
      </c>
      <c r="K98" s="1">
        <v>4</v>
      </c>
      <c r="L98" s="26">
        <v>20432</v>
      </c>
      <c r="M98" s="26">
        <v>74</v>
      </c>
      <c r="N98" s="26">
        <v>81654</v>
      </c>
      <c r="O98" s="26">
        <v>4082.7</v>
      </c>
      <c r="P98" s="26">
        <v>150</v>
      </c>
      <c r="Q98" s="26">
        <v>85886.7</v>
      </c>
      <c r="R98" s="2" t="s">
        <v>39</v>
      </c>
      <c r="S98" s="1" t="s">
        <v>435</v>
      </c>
      <c r="T98" s="2" t="s">
        <v>41</v>
      </c>
      <c r="U98">
        <f>IF(Table1[[#This Row],[Return_Flag]]="Yes",1,0)</f>
        <v>1</v>
      </c>
    </row>
    <row r="99" spans="1:21" ht="14">
      <c r="A99" s="3">
        <v>1098</v>
      </c>
      <c r="B99" s="6">
        <v>45586</v>
      </c>
      <c r="C99" s="4" t="s">
        <v>436</v>
      </c>
      <c r="D99" s="4" t="s">
        <v>21</v>
      </c>
      <c r="E99" s="4" t="s">
        <v>61</v>
      </c>
      <c r="F99" s="4" t="s">
        <v>34</v>
      </c>
      <c r="G99" s="4" t="s">
        <v>101</v>
      </c>
      <c r="H99" s="4" t="s">
        <v>437</v>
      </c>
      <c r="I99" s="4" t="s">
        <v>438</v>
      </c>
      <c r="J99" s="4" t="s">
        <v>126</v>
      </c>
      <c r="K99" s="3">
        <v>3</v>
      </c>
      <c r="L99" s="27">
        <v>56149</v>
      </c>
      <c r="M99" s="27">
        <v>2831</v>
      </c>
      <c r="N99" s="27">
        <v>165616</v>
      </c>
      <c r="O99" s="27">
        <v>8280.7999999999993</v>
      </c>
      <c r="P99" s="27">
        <v>200</v>
      </c>
      <c r="Q99" s="27">
        <v>174096.8</v>
      </c>
      <c r="R99" s="4" t="s">
        <v>39</v>
      </c>
      <c r="S99" s="1" t="s">
        <v>439</v>
      </c>
      <c r="T99" s="4" t="s">
        <v>41</v>
      </c>
      <c r="U99">
        <f>IF(Table1[[#This Row],[Return_Flag]]="Yes",1,0)</f>
        <v>1</v>
      </c>
    </row>
    <row r="100" spans="1:21" ht="14">
      <c r="A100" s="1">
        <v>1099</v>
      </c>
      <c r="B100" s="5">
        <v>45795</v>
      </c>
      <c r="C100" s="2" t="s">
        <v>440</v>
      </c>
      <c r="D100" s="2" t="s">
        <v>32</v>
      </c>
      <c r="E100" s="2" t="s">
        <v>33</v>
      </c>
      <c r="F100" s="2" t="s">
        <v>49</v>
      </c>
      <c r="G100" s="2" t="s">
        <v>62</v>
      </c>
      <c r="H100" s="2" t="s">
        <v>441</v>
      </c>
      <c r="I100" s="2" t="s">
        <v>442</v>
      </c>
      <c r="J100" s="2" t="s">
        <v>27</v>
      </c>
      <c r="K100" s="1">
        <v>1</v>
      </c>
      <c r="L100" s="26">
        <v>9446</v>
      </c>
      <c r="M100" s="26">
        <v>530</v>
      </c>
      <c r="N100" s="26">
        <v>8916</v>
      </c>
      <c r="O100" s="26">
        <v>445.8</v>
      </c>
      <c r="P100" s="26">
        <v>150</v>
      </c>
      <c r="Q100" s="26">
        <v>9511.7999999999993</v>
      </c>
      <c r="R100" s="2" t="s">
        <v>71</v>
      </c>
      <c r="S100" s="1" t="s">
        <v>443</v>
      </c>
      <c r="T100" s="2" t="s">
        <v>30</v>
      </c>
      <c r="U100">
        <f>IF(Table1[[#This Row],[Return_Flag]]="Yes",1,0)</f>
        <v>0</v>
      </c>
    </row>
    <row r="101" spans="1:21" ht="14">
      <c r="A101" s="10">
        <v>1100</v>
      </c>
      <c r="B101" s="11">
        <v>45551</v>
      </c>
      <c r="C101" s="12" t="s">
        <v>444</v>
      </c>
      <c r="D101" s="12" t="s">
        <v>32</v>
      </c>
      <c r="E101" s="12" t="s">
        <v>22</v>
      </c>
      <c r="F101" s="12" t="s">
        <v>34</v>
      </c>
      <c r="G101" s="12" t="s">
        <v>74</v>
      </c>
      <c r="H101" s="12" t="s">
        <v>445</v>
      </c>
      <c r="I101" s="12" t="s">
        <v>446</v>
      </c>
      <c r="J101" s="12" t="s">
        <v>121</v>
      </c>
      <c r="K101" s="10">
        <v>4</v>
      </c>
      <c r="L101" s="28">
        <v>25567</v>
      </c>
      <c r="M101" s="28">
        <v>12</v>
      </c>
      <c r="N101" s="28">
        <v>102256</v>
      </c>
      <c r="O101" s="28">
        <v>5112.8</v>
      </c>
      <c r="P101" s="28">
        <v>100</v>
      </c>
      <c r="Q101" s="28">
        <v>107468.8</v>
      </c>
      <c r="R101" s="12" t="s">
        <v>39</v>
      </c>
      <c r="S101" s="13" t="s">
        <v>447</v>
      </c>
      <c r="T101" s="12" t="s">
        <v>41</v>
      </c>
      <c r="U101">
        <f>IF(Table1[[#This Row],[Return_Flag]]="Yes",1,0)</f>
        <v>1</v>
      </c>
    </row>
    <row r="102" spans="1:21" ht="15.75" customHeight="1">
      <c r="A102" s="10"/>
      <c r="B102" s="11"/>
      <c r="C102" s="12"/>
      <c r="D102" s="12"/>
      <c r="E102" s="12"/>
      <c r="F102" s="12"/>
      <c r="G102" s="12"/>
      <c r="H102" s="12"/>
      <c r="I102" s="12"/>
      <c r="J102" s="12"/>
      <c r="K102" s="10"/>
      <c r="L102" s="28"/>
      <c r="M102" s="28"/>
      <c r="N102" s="28"/>
      <c r="O102" s="28"/>
      <c r="P102" s="28"/>
      <c r="Q102" s="28"/>
      <c r="R102" s="12"/>
      <c r="S102" s="13"/>
      <c r="T102" s="12"/>
      <c r="U10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3CF1C-254F-49F8-AC1D-C8CAC2ABA29F}">
  <dimension ref="A1:P20"/>
  <sheetViews>
    <sheetView tabSelected="1" zoomScale="80" zoomScaleNormal="80" workbookViewId="0">
      <selection activeCell="A10" sqref="A10"/>
    </sheetView>
  </sheetViews>
  <sheetFormatPr defaultRowHeight="12.5"/>
  <cols>
    <col min="3" max="3" width="23.1796875" customWidth="1"/>
    <col min="4" max="4" width="3" customWidth="1"/>
    <col min="5" max="5" width="23.1796875" customWidth="1"/>
    <col min="6" max="6" width="2.6328125" customWidth="1"/>
    <col min="7" max="7" width="23.1796875" customWidth="1"/>
    <col min="8" max="8" width="2" customWidth="1"/>
    <col min="9" max="9" width="23.1796875" customWidth="1"/>
  </cols>
  <sheetData>
    <row r="1" spans="1:16" ht="13" thickBot="1"/>
    <row r="2" spans="1:16" ht="22" customHeight="1" thickBot="1">
      <c r="C2" s="37" t="s">
        <v>453</v>
      </c>
      <c r="D2" s="38"/>
      <c r="E2" s="38"/>
      <c r="F2" s="38"/>
      <c r="G2" s="38"/>
      <c r="H2" s="38"/>
      <c r="I2" s="39"/>
    </row>
    <row r="3" spans="1:16" ht="13" thickBot="1"/>
    <row r="4" spans="1:16" ht="34.5" customHeight="1">
      <c r="C4" s="20" t="s">
        <v>448</v>
      </c>
      <c r="D4" s="21"/>
      <c r="E4" s="20" t="s">
        <v>454</v>
      </c>
      <c r="F4" s="21"/>
      <c r="G4" s="20" t="s">
        <v>452</v>
      </c>
      <c r="H4" s="21"/>
      <c r="I4" s="20" t="s">
        <v>455</v>
      </c>
    </row>
    <row r="5" spans="1:16" ht="38" customHeight="1" thickBot="1">
      <c r="C5" s="33">
        <f>GETPIVOTDATA("Total",'pivot tables'!$A$3)</f>
        <v>10964519.950000003</v>
      </c>
      <c r="D5" s="16"/>
      <c r="E5" s="17">
        <f>GETPIVOTDATA("Order_ID",'pivot tables'!$C$3)</f>
        <v>100</v>
      </c>
      <c r="F5" s="16"/>
      <c r="G5" s="33">
        <f>GETPIVOTDATA("Total",'pivot tables'!$E$3)</f>
        <v>109645.19950000003</v>
      </c>
      <c r="H5" s="18"/>
      <c r="I5" s="19">
        <f>GETPIVOTDATA("Flag value",'pivot tables'!$G$3)</f>
        <v>0.36</v>
      </c>
    </row>
    <row r="7" spans="1:16">
      <c r="A7" s="24"/>
      <c r="B7" s="24"/>
      <c r="C7" s="24"/>
      <c r="D7" s="24"/>
      <c r="E7" s="24"/>
      <c r="F7" s="24"/>
      <c r="G7" s="24"/>
      <c r="I7" s="24"/>
      <c r="J7" s="24"/>
      <c r="K7" s="24"/>
      <c r="L7" s="24"/>
      <c r="M7" s="24"/>
      <c r="N7" s="24"/>
      <c r="O7" s="24"/>
    </row>
    <row r="8" spans="1:16">
      <c r="A8" s="24"/>
      <c r="B8" s="24"/>
      <c r="C8" s="24"/>
      <c r="D8" s="24"/>
      <c r="E8" s="24"/>
      <c r="F8" s="24"/>
      <c r="G8" s="24"/>
      <c r="I8" s="24"/>
      <c r="J8" s="24"/>
      <c r="K8" s="24"/>
      <c r="L8" s="24"/>
      <c r="M8" s="24"/>
      <c r="N8" s="24"/>
      <c r="O8" s="24"/>
    </row>
    <row r="9" spans="1:16">
      <c r="A9" s="24"/>
      <c r="B9" s="24"/>
      <c r="C9" s="24"/>
      <c r="D9" s="24"/>
      <c r="E9" s="24"/>
      <c r="F9" s="24"/>
      <c r="G9" s="24"/>
      <c r="I9" s="24"/>
      <c r="J9" s="24"/>
      <c r="K9" s="24"/>
      <c r="L9" s="24"/>
      <c r="M9" s="24"/>
      <c r="N9" s="24"/>
      <c r="O9" s="24"/>
    </row>
    <row r="10" spans="1:16">
      <c r="A10" s="24"/>
      <c r="B10" s="24"/>
      <c r="C10" s="24"/>
      <c r="D10" s="24"/>
      <c r="E10" s="24"/>
      <c r="F10" s="24"/>
      <c r="G10" s="24"/>
      <c r="I10" s="24"/>
      <c r="J10" s="24"/>
      <c r="K10" s="24"/>
      <c r="L10" s="24"/>
      <c r="M10" s="24"/>
      <c r="N10" s="24"/>
      <c r="O10" s="24"/>
    </row>
    <row r="11" spans="1:16">
      <c r="A11" s="24"/>
      <c r="B11" s="24"/>
      <c r="C11" s="24"/>
      <c r="D11" s="24"/>
      <c r="E11" s="24"/>
      <c r="F11" s="24"/>
      <c r="G11" s="24"/>
      <c r="I11" s="24"/>
      <c r="J11" s="24"/>
      <c r="K11" s="24"/>
      <c r="L11" s="24"/>
      <c r="M11" s="24"/>
      <c r="N11" s="24"/>
      <c r="O11" s="24"/>
    </row>
    <row r="12" spans="1:16">
      <c r="A12" s="24"/>
      <c r="B12" s="24"/>
      <c r="C12" s="24"/>
      <c r="D12" s="24"/>
      <c r="E12" s="24"/>
      <c r="F12" s="24"/>
      <c r="G12" s="24"/>
      <c r="I12" s="24"/>
      <c r="J12" s="24"/>
      <c r="K12" s="24"/>
      <c r="L12" s="24"/>
      <c r="M12" s="24"/>
      <c r="N12" s="24"/>
      <c r="O12" s="24"/>
    </row>
    <row r="13" spans="1:16">
      <c r="A13" s="24"/>
      <c r="B13" s="24"/>
      <c r="C13" s="24"/>
      <c r="D13" s="24"/>
      <c r="E13" s="24"/>
      <c r="F13" s="24"/>
      <c r="G13" s="24"/>
      <c r="I13" s="24"/>
      <c r="J13" s="24"/>
      <c r="K13" s="24"/>
      <c r="L13" s="24"/>
      <c r="M13" s="24"/>
      <c r="N13" s="24"/>
      <c r="O13" s="24"/>
      <c r="P13" s="14"/>
    </row>
    <row r="14" spans="1:16">
      <c r="A14" s="24"/>
      <c r="B14" s="24"/>
      <c r="C14" s="24"/>
      <c r="D14" s="24"/>
      <c r="E14" s="24"/>
      <c r="F14" s="24"/>
      <c r="G14" s="24"/>
      <c r="I14" s="24"/>
      <c r="J14" s="24"/>
      <c r="K14" s="24"/>
      <c r="L14" s="24"/>
      <c r="M14" s="24"/>
      <c r="N14" s="24"/>
      <c r="O14" s="24"/>
    </row>
    <row r="15" spans="1:16">
      <c r="A15" s="24"/>
      <c r="B15" s="24"/>
      <c r="C15" s="24"/>
      <c r="D15" s="24"/>
      <c r="E15" s="24"/>
      <c r="F15" s="24"/>
      <c r="G15" s="24"/>
      <c r="I15" s="24"/>
      <c r="J15" s="24"/>
      <c r="K15" s="24"/>
      <c r="L15" s="24"/>
      <c r="M15" s="24"/>
      <c r="N15" s="24"/>
      <c r="O15" s="24"/>
    </row>
    <row r="16" spans="1:16">
      <c r="A16" s="24"/>
      <c r="B16" s="24"/>
      <c r="C16" s="24"/>
      <c r="D16" s="24"/>
      <c r="E16" s="24"/>
      <c r="F16" s="24"/>
      <c r="G16" s="24"/>
      <c r="I16" s="24"/>
      <c r="J16" s="24"/>
      <c r="K16" s="24"/>
      <c r="L16" s="24"/>
      <c r="M16" s="24"/>
      <c r="N16" s="24"/>
      <c r="O16" s="24"/>
    </row>
    <row r="17" spans="1:15">
      <c r="A17" s="24"/>
      <c r="B17" s="24"/>
      <c r="C17" s="24"/>
      <c r="D17" s="24"/>
      <c r="E17" s="24"/>
      <c r="F17" s="24"/>
      <c r="G17" s="24"/>
      <c r="I17" s="24"/>
      <c r="J17" s="24"/>
      <c r="K17" s="24"/>
      <c r="L17" s="24"/>
      <c r="M17" s="24"/>
      <c r="N17" s="24"/>
      <c r="O17" s="24"/>
    </row>
    <row r="18" spans="1:15">
      <c r="A18" s="24"/>
      <c r="B18" s="24"/>
      <c r="C18" s="24"/>
      <c r="D18" s="24"/>
      <c r="E18" s="24"/>
      <c r="F18" s="24"/>
      <c r="G18" s="24"/>
      <c r="I18" s="24"/>
      <c r="J18" s="24"/>
      <c r="K18" s="24"/>
      <c r="L18" s="24"/>
      <c r="M18" s="24"/>
      <c r="N18" s="24"/>
      <c r="O18" s="24"/>
    </row>
    <row r="19" spans="1:15">
      <c r="A19" s="24"/>
      <c r="B19" s="24"/>
      <c r="C19" s="24"/>
      <c r="D19" s="24"/>
      <c r="E19" s="24"/>
      <c r="F19" s="24"/>
      <c r="G19" s="24"/>
      <c r="I19" s="24"/>
      <c r="J19" s="24"/>
      <c r="K19" s="24"/>
      <c r="L19" s="24"/>
      <c r="M19" s="24"/>
      <c r="N19" s="24"/>
      <c r="O19" s="24"/>
    </row>
    <row r="20" spans="1:15">
      <c r="A20" s="24"/>
      <c r="B20" s="24"/>
      <c r="C20" s="24"/>
      <c r="D20" s="24"/>
      <c r="E20" s="24"/>
      <c r="F20" s="24"/>
      <c r="G20" s="24"/>
      <c r="I20" s="24"/>
      <c r="J20" s="24"/>
      <c r="K20" s="24"/>
      <c r="L20" s="24"/>
      <c r="M20" s="24"/>
      <c r="N20" s="24"/>
      <c r="O20" s="24"/>
    </row>
  </sheetData>
  <mergeCells count="1">
    <mergeCell ref="C2:I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original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safar n n</cp:lastModifiedBy>
  <dcterms:modified xsi:type="dcterms:W3CDTF">2026-09-16T08:08:13Z</dcterms:modified>
</cp:coreProperties>
</file>